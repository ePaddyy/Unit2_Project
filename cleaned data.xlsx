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ePadd\OneDrive - University of Ghana\Documents\DATA SCIENCE\DATA BLOOM\ASSIGNMENT\Finance\"/>
    </mc:Choice>
  </mc:AlternateContent>
  <xr:revisionPtr revIDLastSave="0" documentId="13_ncr:9_{C7FA4A0B-1302-419E-BEC7-070574877383}" xr6:coauthVersionLast="47" xr6:coauthVersionMax="47" xr10:uidLastSave="{00000000-0000-0000-0000-000000000000}"/>
  <bookViews>
    <workbookView xWindow="-120" yWindow="-120" windowWidth="20730" windowHeight="11760" xr2:uid="{4ACF936A-42E7-4D8D-8C8B-DDED9E7D5AEF}"/>
  </bookViews>
  <sheets>
    <sheet name="customers" sheetId="3" r:id="rId1"/>
    <sheet name="Sheet14" sheetId="18" r:id="rId2"/>
    <sheet name="transactions" sheetId="4" r:id="rId3"/>
    <sheet name="Dashboard" sheetId="6" r:id="rId4"/>
    <sheet name="Data Cleaning" sheetId="20" r:id="rId5"/>
  </sheets>
  <definedNames>
    <definedName name="ExternalData_1" localSheetId="0" hidden="1">'customers'!$A$1:$E$21</definedName>
    <definedName name="ExternalData_1" localSheetId="2" hidden="1">transactions!$A$1:$F$41</definedName>
    <definedName name="Slicer_account_type">#N/A</definedName>
    <definedName name="Slicer_category1">#N/A</definedName>
    <definedName name="Slicer_category2">#N/A</definedName>
    <definedName name="Slicer_occupation">#N/A</definedName>
    <definedName name="Slicer_payment_method">#N/A</definedName>
  </definedNames>
  <calcPr calcId="0"/>
  <pivotCaches>
    <pivotCache cacheId="92" r:id="rId6"/>
    <pivotCache cacheId="107"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D3" i="6" l="1"/>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H3" i="6"/>
  <c r="F3" i="6"/>
  <c r="B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70D615-E587-46C8-8B63-A1CC9BA7CE87}" keepAlive="1" name="Query - accounts" description="Connection to the 'accounts' query in the workbook." type="5" refreshedVersion="8" background="1" saveData="1">
    <dbPr connection="Provider=Microsoft.Mashup.OleDb.1;Data Source=$Workbook$;Location=accounts;Extended Properties=&quot;&quot;" command="SELECT * FROM [accounts]"/>
  </connection>
  <connection id="2" xr16:uid="{227E07AF-9F30-4FD3-B14F-28351300336E}"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2E1860DF-CEDE-438A-9F7E-994CD4A921A0}" keepAlive="1" name="Query - transactions" description="Connection to the 'transactions' query in the workbook." type="5" refreshedVersion="8" background="1" saveData="1">
    <dbPr connection="Provider=Microsoft.Mashup.OleDb.1;Data Source=$Workbook$;Location=transactions;Extended Properties=&quot;&quot;" command="SELECT * FROM [transactions]"/>
  </connection>
</connections>
</file>

<file path=xl/sharedStrings.xml><?xml version="1.0" encoding="utf-8"?>
<sst xmlns="http://schemas.openxmlformats.org/spreadsheetml/2006/main" count="301" uniqueCount="126">
  <si>
    <t>customer_id</t>
  </si>
  <si>
    <t>account_type</t>
  </si>
  <si>
    <t>C001</t>
  </si>
  <si>
    <t>C002</t>
  </si>
  <si>
    <t>C003</t>
  </si>
  <si>
    <t>C004</t>
  </si>
  <si>
    <t>C005</t>
  </si>
  <si>
    <t>C006</t>
  </si>
  <si>
    <t>C007</t>
  </si>
  <si>
    <t>C008</t>
  </si>
  <si>
    <t>C009</t>
  </si>
  <si>
    <t>C010</t>
  </si>
  <si>
    <t>C011</t>
  </si>
  <si>
    <t>C012</t>
  </si>
  <si>
    <t>C013</t>
  </si>
  <si>
    <t>C014</t>
  </si>
  <si>
    <t>C015</t>
  </si>
  <si>
    <t>C016</t>
  </si>
  <si>
    <t>C017</t>
  </si>
  <si>
    <t>C018</t>
  </si>
  <si>
    <t>C019</t>
  </si>
  <si>
    <t>C020</t>
  </si>
  <si>
    <t>full_name</t>
  </si>
  <si>
    <t>region</t>
  </si>
  <si>
    <t>age</t>
  </si>
  <si>
    <t>occupation</t>
  </si>
  <si>
    <t>Kojo Asare</t>
  </si>
  <si>
    <t>Volta</t>
  </si>
  <si>
    <t>Student</t>
  </si>
  <si>
    <t>Ashanti</t>
  </si>
  <si>
    <t>Trader</t>
  </si>
  <si>
    <t>Afia Darko</t>
  </si>
  <si>
    <t>Kojo Darko</t>
  </si>
  <si>
    <t>Bono</t>
  </si>
  <si>
    <t>Yaw Mensah</t>
  </si>
  <si>
    <t>Farmer</t>
  </si>
  <si>
    <t>Adjoa Mensah</t>
  </si>
  <si>
    <t>Northern</t>
  </si>
  <si>
    <t>Engineer</t>
  </si>
  <si>
    <t>Afia Boateng</t>
  </si>
  <si>
    <t>Banker</t>
  </si>
  <si>
    <t>Esi Mensah</t>
  </si>
  <si>
    <t>Greater Accra</t>
  </si>
  <si>
    <t>Teacher</t>
  </si>
  <si>
    <t>Afia Mensah</t>
  </si>
  <si>
    <t>Western</t>
  </si>
  <si>
    <t>Kofi Asare</t>
  </si>
  <si>
    <t>Kofi Darko</t>
  </si>
  <si>
    <t>Adjoa Darko</t>
  </si>
  <si>
    <t>Yaw Boateng</t>
  </si>
  <si>
    <t>Yaw Asare</t>
  </si>
  <si>
    <t>trans_id</t>
  </si>
  <si>
    <t>date</t>
  </si>
  <si>
    <t>category</t>
  </si>
  <si>
    <t>amount</t>
  </si>
  <si>
    <t>payment_method</t>
  </si>
  <si>
    <t>T001</t>
  </si>
  <si>
    <t>Groceries</t>
  </si>
  <si>
    <t>Card</t>
  </si>
  <si>
    <t>T002</t>
  </si>
  <si>
    <t>Entertainment</t>
  </si>
  <si>
    <t>Cash</t>
  </si>
  <si>
    <t>T003</t>
  </si>
  <si>
    <t>Transport</t>
  </si>
  <si>
    <t>T004</t>
  </si>
  <si>
    <t>Healthcare</t>
  </si>
  <si>
    <t>T005</t>
  </si>
  <si>
    <t>T006</t>
  </si>
  <si>
    <t>Mobile Money</t>
  </si>
  <si>
    <t>T007</t>
  </si>
  <si>
    <t>Other</t>
  </si>
  <si>
    <t>T008</t>
  </si>
  <si>
    <t>T009</t>
  </si>
  <si>
    <t>T010</t>
  </si>
  <si>
    <t>T011</t>
  </si>
  <si>
    <t>T012</t>
  </si>
  <si>
    <t>Utilities</t>
  </si>
  <si>
    <t>T013</t>
  </si>
  <si>
    <t>T014</t>
  </si>
  <si>
    <t>T015</t>
  </si>
  <si>
    <t>Education</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</si>
  <si>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</si>
  <si>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</si>
  <si>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</si>
  <si>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</si>
  <si>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</si>
  <si>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</si>
  <si>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</si>
  <si>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</si>
  <si>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</si>
  <si>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</si>
  <si>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</si>
  <si>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</si>
  <si>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</si>
  <si>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</si>
  <si>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</si>
  <si>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</si>
  <si>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</si>
  <si>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</si>
  <si>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</si>
  <si>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</si>
  <si>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</si>
  <si>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</si>
  <si>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</si>
  <si>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</si>
  <si>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</si>
  <si>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Grand Total</t>
  </si>
  <si>
    <t>Row Labels</t>
  </si>
  <si>
    <t>Sum of amount</t>
  </si>
  <si>
    <t>Count of customer_id</t>
  </si>
  <si>
    <t>customer_name</t>
  </si>
  <si>
    <t>total transactions</t>
  </si>
  <si>
    <t>number of transactions</t>
  </si>
  <si>
    <t>number of customers</t>
  </si>
  <si>
    <t>average transaction</t>
  </si>
  <si>
    <t>Sheet</t>
  </si>
  <si>
    <t>Action</t>
  </si>
  <si>
    <t>Details</t>
  </si>
  <si>
    <t>accounts</t>
  </si>
  <si>
    <t>Cleaned</t>
  </si>
  <si>
    <t>customers</t>
  </si>
  <si>
    <t>transactions</t>
  </si>
  <si>
    <t>trimmed spaces, fixed text,  standardized dates</t>
  </si>
  <si>
    <t xml:space="preserve">trimmed spaces, fixed text,  standardized dates, </t>
  </si>
  <si>
    <t>Emmanuel Paddy Adams</t>
  </si>
  <si>
    <t>Finance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</si>
</sst>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GH₵&quot;* #,##0.00_-;\-&quot;GH₵&quot;* #,##0.00_-;_-&quot;GH₵&quot;* &quot;-&quot;??_-;_-@_-"/>
    <numFmt numFmtId="164" formatCode="[$-F800]dddd\,\ mmmm\ dd\,\ yyyy"/>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applyNumberFormat="1"/>
    <xf numFmtId="44" fontId="0" fillId="0" borderId="0" xfId="1" applyFont="1"/>
    <xf numFmtId="164" fontId="0" fillId="0" borderId="0" xfId="0" applyNumberFormat="1"/>
    <xf numFmtId="44" fontId="0" fillId="0" borderId="0" xfId="0" applyNumberFormat="1"/>
    <xf numFmtId="0" fontId="0" fillId="0" borderId="0" xfId="0" pivotButton="1"/>
    <xf numFmtId="0" fontId="0" fillId="0" borderId="0" xfId="0" applyAlignment="1">
      <alignment horizontal="left"/>
    </xf>
    <xf numFmtId="0" fontId="18" fillId="0" borderId="0" xfId="0" applyFont="1"/>
    <xf numFmtId="44" fontId="18" fillId="0" borderId="0" xfId="0" applyNumberFormat="1" applyFont="1"/>
    <xf numFmtId="0" fontId="19" fillId="0" borderId="10" xfId="0" applyFont="1" applyBorder="1" applyAlignment="1">
      <alignment wrapText="1"/>
    </xf>
    <xf numFmtId="22" fontId="19" fillId="0" borderId="10" xfId="0" applyNumberFormat="1" applyFont="1" applyBorder="1" applyAlignment="1">
      <alignment horizontal="right"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[Unit2_project.xlsx]customers!PivotTable42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'customers'!$G$3</c:f>
              <c:strCache>
                <c:ptCount val="1"/>
                <c:pt idx="0">
                  <c:v>Total</c:v>
                </c:pt>
              </c:strCache>
            </c:strRef>
          </c:tx>
          <c:spPr>
            <a:solidFill>
              <a:schemeClr val="accent1"/>
            </a:solidFill>
            <a:ln>
              <a:noFill/>
            </a:ln>
            <a:effectLst/>
          </c:spPr>
          <c:invertIfNegative val="0"/>
          <c:cat>
            <c:strRef>
              <c:f>'customers'!$F$4:$F$10</c:f>
              <c:strCache>
                <c:ptCount val="6"/>
                <c:pt idx="0">
                  <c:v>Ashanti</c:v>
                </c:pt>
                <c:pt idx="1">
                  <c:v>Bono</c:v>
                </c:pt>
                <c:pt idx="2">
                  <c:v>Greater Accra</c:v>
                </c:pt>
                <c:pt idx="3">
                  <c:v>Northern</c:v>
                </c:pt>
                <c:pt idx="4">
                  <c:v>Volta</c:v>
                </c:pt>
                <c:pt idx="5">
                  <c:v>Western</c:v>
                </c:pt>
              </c:strCache>
            </c:strRef>
          </c:cat>
          <c:val>
            <c:numRef>
              <c:f>'customers'!$G$4:$G$10</c:f>
              <c:numCache>
                <c:formatCode>General</c:formatCode>
                <c:ptCount val="6"/>
                <c:pt idx="0">
                  <c:v>6</c:v>
                </c:pt>
                <c:pt idx="1">
                  <c:v>2</c:v>
                </c:pt>
                <c:pt idx="2">
                  <c:v>2</c:v>
                </c:pt>
                <c:pt idx="3">
                  <c:v>2</c:v>
                </c:pt>
                <c:pt idx="4">
                  <c:v>6</c:v>
                </c:pt>
                <c:pt idx="5">
                  <c:v>2</c:v>
                </c:pt>
              </c:numCache>
            </c:numRef>
          </c:val>
          <c:extLst>
            <c:ext xmlns:c16="http://schemas.microsoft.com/office/drawing/2014/chart" uri="{C3380CC4-5D6E-409C-BE32-E72D297353CC}">
              <c16:uniqueId val="{00000000-A094-425A-A704-569AA2A3A97C}"/>
            </c:ext>
          </c:extLst>
        </c:ser>
        <c:dLbls>
          <c:showLegendKey val="0"/>
          <c:showVal val="0"/>
          <c:showCatName val="0"/>
          <c:showSerName val="0"/>
          <c:showPercent val="0"/>
          <c:showBubbleSize val="0"/>
        </c:dLbls>
        <c:gapWidth val="219"/>
        <c:overlap val="-27"/>
        <c:axId val="332222463"/>
        <c:axId val="332214303"/>
      </c:barChart>
      <c:catAx>
        <c:axId val="33222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332214303"/>
        <c:crosses val="autoZero"/>
        <c:auto val="1"/>
        <c:lblAlgn val="ctr"/>
        <c:lblOffset val="100"/>
        <c:noMultiLvlLbl val="0"/>
      </c:catAx>
      <c:valAx>
        <c:axId val="33221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33222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[Unit2_project.xlsx]Sheet14!PivotTable32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amount by customer_id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Sheet14!$B$3</c:f>
              <c:strCache>
                <c:ptCount val="1"/>
                <c:pt idx="0">
                  <c:v>Total</c:v>
                </c:pt>
              </c:strCache>
            </c:strRef>
          </c:tx>
          <c:spPr>
            <a:solidFill>
              <a:schemeClr val="accent1"/>
            </a:solidFill>
            <a:ln>
              <a:noFill/>
            </a:ln>
            <a:effectLst/>
          </c:spPr>
          <c:invertIfNegative val="0"/>
          <c:cat>
            <c:strRef>
              <c:f>Sheet14!$A$4:$A$9</c:f>
              <c:strCache>
                <c:ptCount val="6"/>
                <c:pt idx="0">
                  <c:v>C003</c:v>
                </c:pt>
                <c:pt idx="1">
                  <c:v>C004</c:v>
                </c:pt>
                <c:pt idx="2">
                  <c:v>C012</c:v>
                </c:pt>
                <c:pt idx="3">
                  <c:v>C013</c:v>
                </c:pt>
                <c:pt idx="4">
                  <c:v>C017</c:v>
                </c:pt>
                <c:pt idx="5">
                  <c:v>C020</c:v>
                </c:pt>
              </c:strCache>
            </c:strRef>
          </c:cat>
          <c:val>
            <c:numRef>
              <c:f>Sheet14!$B$4:$B$9</c:f>
              <c:numCache>
                <c:formatCode>_("GH₵"* #,##0.00_);_("GH₵"* \(#,##0.00\);_("GH₵"* "-"??_);_(@_)</c:formatCode>
                <c:ptCount val="6"/>
                <c:pt idx="0">
                  <c:v>388</c:v>
                </c:pt>
                <c:pt idx="1">
                  <c:v>414</c:v>
                </c:pt>
                <c:pt idx="2">
                  <c:v>266</c:v>
                </c:pt>
                <c:pt idx="3">
                  <c:v>181</c:v>
                </c:pt>
                <c:pt idx="4">
                  <c:v>680</c:v>
                </c:pt>
                <c:pt idx="5">
                  <c:v>291</c:v>
                </c:pt>
              </c:numCache>
            </c:numRef>
          </c:val>
          <c:extLst>
            <c:ext xmlns:c16="http://schemas.microsoft.com/office/drawing/2014/chart" uri="{C3380CC4-5D6E-409C-BE32-E72D297353CC}">
              <c16:uniqueId val="{00000000-2526-4A1A-9D11-B688F1F8DD0C}"/>
            </c:ext>
          </c:extLst>
        </c:ser>
        <c:dLbls>
          <c:showLegendKey val="0"/>
          <c:showVal val="0"/>
          <c:showCatName val="0"/>
          <c:showSerName val="0"/>
          <c:showPercent val="0"/>
          <c:showBubbleSize val="0"/>
        </c:dLbls>
        <c:gapWidth val="219"/>
        <c:overlap val="-27"/>
        <c:axId val="532830655"/>
        <c:axId val="532824895"/>
      </c:barChart>
      <c:catAx>
        <c:axId val="53283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532824895"/>
        <c:crosses val="autoZero"/>
        <c:auto val="1"/>
        <c:lblAlgn val="ctr"/>
        <c:lblOffset val="100"/>
        <c:noMultiLvlLbl val="0"/>
      </c:catAx>
      <c:valAx>
        <c:axId val="532824895"/>
        <c:scaling>
          <c:orientation val="minMax"/>
        </c:scaling>
        <c:delete val="0"/>
        <c:axPos val="l"/>
        <c:majorGridlines>
          <c:spPr>
            <a:ln w="9525" cap="flat" cmpd="sng" algn="ctr">
              <a:solidFill>
                <a:schemeClr val="tx1">
                  <a:lumMod val="15000"/>
                  <a:lumOff val="85000"/>
                </a:schemeClr>
              </a:solidFill>
              <a:round/>
            </a:ln>
            <a:effectLst/>
          </c:spPr>
        </c:majorGridlines>
        <c:numFmt formatCode="_(&quot;GH₵&quot;* #,##0.00_);_(&quot;GH₵&quot;* \(#,##0.00\);_(&quot;GH₵&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5328306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[Unit2_project.xlsx]transactions!PivotTable38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transactions!$J$2</c:f>
              <c:strCache>
                <c:ptCount val="1"/>
                <c:pt idx="0">
                  <c:v>Total</c:v>
                </c:pt>
              </c:strCache>
            </c:strRef>
          </c:tx>
          <c:spPr>
            <a:solidFill>
              <a:schemeClr val="accent1"/>
            </a:solidFill>
            <a:ln>
              <a:noFill/>
            </a:ln>
            <a:effectLst/>
          </c:spPr>
          <c:invertIfNegative val="0"/>
          <c:cat>
            <c:strRef>
              <c:f>transactions!$I$3:$I$13</c:f>
              <c:strCache>
                <c:ptCount val="10"/>
                <c:pt idx="0">
                  <c:v>C003</c:v>
                </c:pt>
                <c:pt idx="1">
                  <c:v>C004</c:v>
                </c:pt>
                <c:pt idx="2">
                  <c:v>C005</c:v>
                </c:pt>
                <c:pt idx="3">
                  <c:v>C009</c:v>
                </c:pt>
                <c:pt idx="4">
                  <c:v>C013</c:v>
                </c:pt>
                <c:pt idx="5">
                  <c:v>C015</c:v>
                </c:pt>
                <c:pt idx="6">
                  <c:v>C016</c:v>
                </c:pt>
                <c:pt idx="7">
                  <c:v>C017</c:v>
                </c:pt>
                <c:pt idx="8">
                  <c:v>C018</c:v>
                </c:pt>
                <c:pt idx="9">
                  <c:v>C019</c:v>
                </c:pt>
              </c:strCache>
            </c:strRef>
          </c:cat>
          <c:val>
            <c:numRef>
              <c:f>transactions!$J$3:$J$13</c:f>
              <c:numCache>
                <c:formatCode>_("GH₵"* #,##0.00_);_("GH₵"* \(#,##0.00\);_("GH₵"* "-"??_);_(@_)</c:formatCode>
                <c:ptCount val="10"/>
                <c:pt idx="0">
                  <c:v>943</c:v>
                </c:pt>
                <c:pt idx="1">
                  <c:v>585</c:v>
                </c:pt>
                <c:pt idx="2">
                  <c:v>430</c:v>
                </c:pt>
                <c:pt idx="3">
                  <c:v>294</c:v>
                </c:pt>
                <c:pt idx="4">
                  <c:v>181</c:v>
                </c:pt>
                <c:pt idx="5">
                  <c:v>175</c:v>
                </c:pt>
                <c:pt idx="6">
                  <c:v>494</c:v>
                </c:pt>
                <c:pt idx="7">
                  <c:v>855</c:v>
                </c:pt>
                <c:pt idx="8">
                  <c:v>370</c:v>
                </c:pt>
                <c:pt idx="9">
                  <c:v>500</c:v>
                </c:pt>
              </c:numCache>
            </c:numRef>
          </c:val>
          <c:extLst>
            <c:ext xmlns:c16="http://schemas.microsoft.com/office/drawing/2014/chart" uri="{C3380CC4-5D6E-409C-BE32-E72D297353CC}">
              <c16:uniqueId val="{00000000-774E-414C-9E63-157CF0372733}"/>
            </c:ext>
          </c:extLst>
        </c:ser>
        <c:dLbls>
          <c:showLegendKey val="0"/>
          <c:showVal val="0"/>
          <c:showCatName val="0"/>
          <c:showSerName val="0"/>
          <c:showPercent val="0"/>
          <c:showBubbleSize val="0"/>
        </c:dLbls>
        <c:gapWidth val="219"/>
        <c:overlap val="-27"/>
        <c:axId val="332209503"/>
        <c:axId val="332200863"/>
      </c:barChart>
      <c:catAx>
        <c:axId val="33220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332200863"/>
        <c:crosses val="autoZero"/>
        <c:auto val="1"/>
        <c:lblAlgn val="ctr"/>
        <c:lblOffset val="100"/>
        <c:noMultiLvlLbl val="0"/>
      </c:catAx>
      <c:valAx>
        <c:axId val="332200863"/>
        <c:scaling>
          <c:orientation val="minMax"/>
        </c:scaling>
        <c:delete val="0"/>
        <c:axPos val="l"/>
        <c:majorGridlines>
          <c:spPr>
            <a:ln w="9525" cap="flat" cmpd="sng" algn="ctr">
              <a:solidFill>
                <a:schemeClr val="tx1">
                  <a:lumMod val="15000"/>
                  <a:lumOff val="85000"/>
                </a:schemeClr>
              </a:solidFill>
              <a:round/>
            </a:ln>
            <a:effectLst/>
          </c:spPr>
        </c:majorGridlines>
        <c:numFmt formatCode="_(&quot;GH₵&quot;* #,##0.00_);_(&quot;GH₵&quot;* \(#,##0.00\);_(&quot;GH₵&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33220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580927384076992E-2"/>
          <c:y val="0.26328484981044037"/>
          <c:w val="0.90297462817147855"/>
          <c:h val="0.53811424613589964"/>
        </c:manualLayout>
      </c:layout>
      <c:barChart>
        <c:barDir val="col"/>
        <c:grouping val="clustered"/>
        <c:varyColors val="0"/>
        <c:ser>
          <c:idx val="0"/>
          <c:order val="0"/>
          <c:tx>
            <c:v>Total</c:v>
          </c:tx>
          <c:spPr>
            <a:solidFill>
              <a:schemeClr val="accent1"/>
            </a:solidFill>
            <a:ln>
              <a:noFill/>
            </a:ln>
            <a:effectLst/>
          </c:spPr>
          <c:invertIfNegative val="0"/>
          <c:cat>
            <c:strLit>
              <c:ptCount val="3"/>
              <c:pt idx="0">
                <c:v>Card</c:v>
              </c:pt>
              <c:pt idx="1">
                <c:v>Cash</c:v>
              </c:pt>
              <c:pt idx="2">
                <c:v>Mobile Money</c:v>
              </c:pt>
            </c:strLit>
          </c:cat>
          <c:val>
            <c:numLit>
              <c:formatCode>General</c:formatCode>
              <c:ptCount val="3"/>
              <c:pt idx="0">
                <c:v>4</c:v>
              </c:pt>
              <c:pt idx="1">
                <c:v>2</c:v>
              </c:pt>
              <c:pt idx="2">
                <c:v>1</c:v>
              </c:pt>
            </c:numLit>
          </c:val>
          <c:extLst>
            <c:ext xmlns:c16="http://schemas.microsoft.com/office/drawing/2014/chart" uri="{C3380CC4-5D6E-409C-BE32-E72D297353CC}">
              <c16:uniqueId val="{0000000B-B4C6-4898-89C8-A4405131F5A4}"/>
            </c:ext>
          </c:extLst>
        </c:ser>
        <c:dLbls>
          <c:showLegendKey val="0"/>
          <c:showVal val="0"/>
          <c:showCatName val="0"/>
          <c:showSerName val="0"/>
          <c:showPercent val="0"/>
          <c:showBubbleSize val="0"/>
        </c:dLbls>
        <c:gapWidth val="219"/>
        <c:overlap val="-27"/>
        <c:axId val="1161722640"/>
        <c:axId val="1161724560"/>
      </c:barChart>
      <c:catAx>
        <c:axId val="116172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161724560"/>
        <c:crosses val="autoZero"/>
        <c:auto val="1"/>
        <c:lblAlgn val="ctr"/>
        <c:lblOffset val="100"/>
        <c:noMultiLvlLbl val="0"/>
      </c:catAx>
      <c:valAx>
        <c:axId val="1161724560"/>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161722640"/>
        <c:crosses val="autoZero"/>
        <c:crossBetween val="between"/>
      </c:valAx>
      <c:spPr>
        <a:solidFill>
          <a:schemeClr val="bg1"/>
        </a:solidFill>
        <a:ln>
          <a:noFill/>
        </a:ln>
        <a:effectLst/>
      </c:spPr>
    </c:plotArea>
    <c:plotVisOnly val="1"/>
    <c:dispBlanksAs val="gap"/>
    <c:showDLblsOverMax val="0"/>
  </c:chart>
  <c:spPr>
    <a:solidFill>
      <a:schemeClr val="bg1"/>
    </a:solidFill>
    <a:ln w="12700" cap="flat" cmpd="sng" algn="ctr">
      <a:solidFill>
        <a:schemeClr val="tx1">
          <a:tint val="75000"/>
        </a:schemeClr>
      </a:solidFill>
      <a:prstDash val="solid"/>
      <a:round/>
    </a:ln>
    <a:effectLst/>
  </c:spPr>
  <c:txPr>
    <a:bodyPr/>
    <a:lstStyle/>
    <a:p>
      <a:pPr>
        <a:defRPr/>
      </a:pPr>
      <a:endParaRPr lang="en-GH"/>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[Unit2_project.xlsx]Sheet14!PivotTable32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amount by customer_id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Sheet14!$B$3</c:f>
              <c:strCache>
                <c:ptCount val="1"/>
                <c:pt idx="0">
                  <c:v>Total</c:v>
                </c:pt>
              </c:strCache>
            </c:strRef>
          </c:tx>
          <c:spPr>
            <a:solidFill>
              <a:schemeClr val="accent1">
                <a:shade val="76000"/>
              </a:schemeClr>
            </a:solidFill>
            <a:ln>
              <a:noFill/>
            </a:ln>
            <a:effectLst/>
          </c:spPr>
          <c:invertIfNegative val="0"/>
          <c:cat>
            <c:strRef>
              <c:f>Sheet14!$A$4:$A$9</c:f>
              <c:strCache>
                <c:ptCount val="6"/>
                <c:pt idx="0">
                  <c:v>C003</c:v>
                </c:pt>
                <c:pt idx="1">
                  <c:v>C004</c:v>
                </c:pt>
                <c:pt idx="2">
                  <c:v>C012</c:v>
                </c:pt>
                <c:pt idx="3">
                  <c:v>C013</c:v>
                </c:pt>
                <c:pt idx="4">
                  <c:v>C017</c:v>
                </c:pt>
                <c:pt idx="5">
                  <c:v>C020</c:v>
                </c:pt>
              </c:strCache>
            </c:strRef>
          </c:cat>
          <c:val>
            <c:numRef>
              <c:f>Sheet14!$B$4:$B$9</c:f>
              <c:numCache>
                <c:formatCode>_("GH₵"* #,##0.00_);_("GH₵"* \(#,##0.00\);_("GH₵"* "-"??_);_(@_)</c:formatCode>
                <c:ptCount val="6"/>
                <c:pt idx="0">
                  <c:v>388</c:v>
                </c:pt>
                <c:pt idx="1">
                  <c:v>414</c:v>
                </c:pt>
                <c:pt idx="2">
                  <c:v>266</c:v>
                </c:pt>
                <c:pt idx="3">
                  <c:v>181</c:v>
                </c:pt>
                <c:pt idx="4">
                  <c:v>680</c:v>
                </c:pt>
                <c:pt idx="5">
                  <c:v>291</c:v>
                </c:pt>
              </c:numCache>
            </c:numRef>
          </c:val>
          <c:extLst>
            <c:ext xmlns:c16="http://schemas.microsoft.com/office/drawing/2014/chart" uri="{C3380CC4-5D6E-409C-BE32-E72D297353CC}">
              <c16:uniqueId val="{00000004-2671-4D67-8EDB-9BF44DCF0A6B}"/>
            </c:ext>
          </c:extLst>
        </c:ser>
        <c:dLbls>
          <c:showLegendKey val="0"/>
          <c:showVal val="0"/>
          <c:showCatName val="0"/>
          <c:showSerName val="0"/>
          <c:showPercent val="0"/>
          <c:showBubbleSize val="0"/>
        </c:dLbls>
        <c:gapWidth val="219"/>
        <c:overlap val="-27"/>
        <c:axId val="532830655"/>
        <c:axId val="532824895"/>
      </c:barChart>
      <c:catAx>
        <c:axId val="53283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532824895"/>
        <c:crosses val="autoZero"/>
        <c:auto val="1"/>
        <c:lblAlgn val="ctr"/>
        <c:lblOffset val="100"/>
        <c:noMultiLvlLbl val="0"/>
      </c:catAx>
      <c:valAx>
        <c:axId val="532824895"/>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_(&quot;GH₵&quot;* #,##0.00_);_(&quot;GH₵&quot;* \(#,##0.00\);_(&quot;GH₵&quot;* &quot;-&quot;??_);_(@_)"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532830655"/>
        <c:crosses val="autoZero"/>
        <c:crossBetween val="between"/>
      </c:valAx>
      <c:spPr>
        <a:solidFill>
          <a:schemeClr val="bg1"/>
        </a:solidFill>
        <a:ln>
          <a:noFill/>
        </a:ln>
        <a:effectLst/>
      </c:spPr>
    </c:plotArea>
    <c:plotVisOnly val="1"/>
    <c:dispBlanksAs val="gap"/>
    <c:showDLblsOverMax val="0"/>
  </c:chart>
  <c:spPr>
    <a:solidFill>
      <a:schemeClr val="bg1"/>
    </a:solidFill>
    <a:ln w="12700" cap="flat" cmpd="sng" algn="ctr">
      <a:solidFill>
        <a:schemeClr val="tx1">
          <a:tint val="75000"/>
        </a:schemeClr>
      </a:solidFill>
      <a:prstDash val="solid"/>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Banker</c:v>
              </c:pt>
              <c:pt idx="1">
                <c:v>Engineer</c:v>
              </c:pt>
              <c:pt idx="2">
                <c:v>Farmer</c:v>
              </c:pt>
              <c:pt idx="3">
                <c:v>Student</c:v>
              </c:pt>
              <c:pt idx="4">
                <c:v>Teacher</c:v>
              </c:pt>
              <c:pt idx="5">
                <c:v>Trader</c:v>
              </c:pt>
            </c:strLit>
          </c:cat>
          <c:val>
            <c:numLit>
              <c:formatCode>General</c:formatCode>
              <c:ptCount val="6"/>
              <c:pt idx="0">
                <c:v>3</c:v>
              </c:pt>
              <c:pt idx="1">
                <c:v>2</c:v>
              </c:pt>
              <c:pt idx="2">
                <c:v>1</c:v>
              </c:pt>
              <c:pt idx="3">
                <c:v>6</c:v>
              </c:pt>
              <c:pt idx="4">
                <c:v>2</c:v>
              </c:pt>
              <c:pt idx="5">
                <c:v>6</c:v>
              </c:pt>
            </c:numLit>
          </c:val>
          <c:extLst>
            <c:ext xmlns:c16="http://schemas.microsoft.com/office/drawing/2014/chart" uri="{C3380CC4-5D6E-409C-BE32-E72D297353CC}">
              <c16:uniqueId val="{00000000-9DBC-4E3C-ABC4-26497446D6C3}"/>
            </c:ext>
          </c:extLst>
        </c:ser>
        <c:dLbls>
          <c:showLegendKey val="0"/>
          <c:showVal val="0"/>
          <c:showCatName val="0"/>
          <c:showSerName val="0"/>
          <c:showPercent val="0"/>
          <c:showBubbleSize val="0"/>
        </c:dLbls>
        <c:gapWidth val="219"/>
        <c:overlap val="-27"/>
        <c:axId val="1161680880"/>
        <c:axId val="1161688080"/>
      </c:barChart>
      <c:catAx>
        <c:axId val="116168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161688080"/>
        <c:crosses val="autoZero"/>
        <c:auto val="1"/>
        <c:lblAlgn val="ctr"/>
        <c:lblOffset val="100"/>
        <c:noMultiLvlLbl val="0"/>
      </c:catAx>
      <c:valAx>
        <c:axId val="116168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161680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76200</xdr:colOff>
      <xdr:row>2</xdr:row>
      <xdr:rowOff>9525</xdr:rowOff>
    </xdr:from>
    <xdr:to>
      <xdr:col>19</xdr:col>
      <xdr:colOff>304800</xdr:colOff>
      <xdr:row>16</xdr:row>
      <xdr:rowOff>85725</xdr:rowOff>
    </xdr:to>
    <xdr:graphicFrame macro="">
      <xdr:nvGraphicFramePr>
        <xdr:cNvPr id="2" name="Chart 1">
          <a:extLst>
            <a:ext uri="{FF2B5EF4-FFF2-40B4-BE49-F238E27FC236}">
              <a16:creationId xmlns:a16="http://schemas.microsoft.com/office/drawing/2014/main" id="{CBD44CBA-0EFB-220F-231C-88A605A2F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200025</xdr:colOff>
      <xdr:row>2</xdr:row>
      <xdr:rowOff>95250</xdr:rowOff>
    </xdr:from>
    <xdr:to>
      <xdr:col>25</xdr:col>
      <xdr:colOff>219075</xdr:colOff>
      <xdr:row>16</xdr:row>
      <xdr:rowOff>95250</xdr:rowOff>
    </xdr:to>
    <mc:AlternateContent xmlns:mc="http://schemas.openxmlformats.org/markup-compatibility/2006">
      <mc:Choice xmlns:a14="http://schemas.microsoft.com/office/drawing/2010/main" Requires="a14">
        <xdr:graphicFrame macro="">
          <xdr:nvGraphicFramePr>
            <xdr:cNvPr id="4" name="occupation">
              <a:extLst>
                <a:ext uri="{FF2B5EF4-FFF2-40B4-BE49-F238E27FC236}">
                  <a16:creationId xmlns:a16="http://schemas.microsoft.com/office/drawing/2014/main" id="{8A3C08C9-B4E5-8E0F-E5B0-F261BC47F2A2}"/>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11229975" y="476250"/>
              <a:ext cx="1828800" cy="266700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142875</xdr:colOff>
      <xdr:row>2</xdr:row>
      <xdr:rowOff>76200</xdr:rowOff>
    </xdr:from>
    <xdr:to>
      <xdr:col>9</xdr:col>
      <xdr:colOff>447675</xdr:colOff>
      <xdr:row>16</xdr:row>
      <xdr:rowOff>152400</xdr:rowOff>
    </xdr:to>
    <xdr:graphicFrame macro="">
      <xdr:nvGraphicFramePr>
        <xdr:cNvPr id="2" name="Chart 1">
          <a:extLst>
            <a:ext uri="{FF2B5EF4-FFF2-40B4-BE49-F238E27FC236}">
              <a16:creationId xmlns:a16="http://schemas.microsoft.com/office/drawing/2014/main" id="{F83D833A-7721-9A52-EE23-800CE2F65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xdr:row>
      <xdr:rowOff>114300</xdr:rowOff>
    </xdr:from>
    <xdr:to>
      <xdr:col>13</xdr:col>
      <xdr:colOff>0</xdr:colOff>
      <xdr:row>16</xdr:row>
      <xdr:rowOff>114300</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1D6E261A-A8BB-31A6-AF91-E42665B7601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819900" y="495300"/>
              <a:ext cx="1828800" cy="266700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95250</xdr:colOff>
      <xdr:row>1</xdr:row>
      <xdr:rowOff>47625</xdr:rowOff>
    </xdr:from>
    <xdr:to>
      <xdr:col>17</xdr:col>
      <xdr:colOff>400050</xdr:colOff>
      <xdr:row>15</xdr:row>
      <xdr:rowOff>123825</xdr:rowOff>
    </xdr:to>
    <xdr:graphicFrame macro="">
      <xdr:nvGraphicFramePr>
        <xdr:cNvPr id="2" name="Chart 1">
          <a:extLst>
            <a:ext uri="{FF2B5EF4-FFF2-40B4-BE49-F238E27FC236}">
              <a16:creationId xmlns:a16="http://schemas.microsoft.com/office/drawing/2014/main" id="{6191706F-8BF6-62D0-5B62-090238609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133350</xdr:colOff>
      <xdr:row>1</xdr:row>
      <xdr:rowOff>76200</xdr:rowOff>
    </xdr:from>
    <xdr:to>
      <xdr:col>21</xdr:col>
      <xdr:colOff>133350</xdr:colOff>
      <xdr:row>15</xdr:row>
      <xdr:rowOff>76200</xdr:rowOff>
    </xdr:to>
    <mc:AlternateContent xmlns:mc="http://schemas.openxmlformats.org/markup-compatibility/2006">
      <mc:Choice xmlns:a14="http://schemas.microsoft.com/office/drawing/2010/main" Requires="a14">
        <xdr:graphicFrame macro="">
          <xdr:nvGraphicFramePr>
            <xdr:cNvPr id="3" name="account_type">
              <a:extLst>
                <a:ext uri="{FF2B5EF4-FFF2-40B4-BE49-F238E27FC236}">
                  <a16:creationId xmlns:a16="http://schemas.microsoft.com/office/drawing/2014/main" id="{45C06EE1-CB70-36A8-32B9-F763B584AE4D}"/>
                </a:ext>
              </a:extLst>
            </xdr:cNvPr>
            <xdr:cNvGraphicFramePr/>
          </xdr:nvGraphicFramePr>
          <xdr:xfrm>
            <a:off x="0" y="0"/>
            <a:ext cx="0" cy="0"/>
          </xdr:xfrm>
          <a:graphic>
            <a:graphicData uri="http://schemas.microsoft.com/office/drawing/2010/slicer">
              <sle:slicer xmlns:sle="http://schemas.microsoft.com/office/drawing/2010/slicer" name="account_type"/>
            </a:graphicData>
          </a:graphic>
        </xdr:graphicFrame>
      </mc:Choice>
      <mc:Fallback>
        <xdr:sp macro="" textlink="">
          <xdr:nvSpPr>
            <xdr:cNvPr id="0" name=""/>
            <xdr:cNvSpPr>
              <a:spLocks noTextEdit="1"/>
            </xdr:cNvSpPr>
          </xdr:nvSpPr>
          <xdr:spPr>
            <a:xfrm>
              <a:off x="13982700" y="266700"/>
              <a:ext cx="1828800" cy="266700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228600</xdr:colOff>
      <xdr:row>1</xdr:row>
      <xdr:rowOff>85725</xdr:rowOff>
    </xdr:from>
    <xdr:to>
      <xdr:col>24</xdr:col>
      <xdr:colOff>228600</xdr:colOff>
      <xdr:row>15</xdr:row>
      <xdr:rowOff>85725</xdr:rowOff>
    </xdr:to>
    <mc:AlternateContent xmlns:mc="http://schemas.openxmlformats.org/markup-compatibility/2006">
      <mc:Choice xmlns:a14="http://schemas.microsoft.com/office/drawing/2010/main" Requires="a14">
        <xdr:graphicFrame macro="">
          <xdr:nvGraphicFramePr>
            <xdr:cNvPr id="4" name="payment_method">
              <a:extLst>
                <a:ext uri="{FF2B5EF4-FFF2-40B4-BE49-F238E27FC236}">
                  <a16:creationId xmlns:a16="http://schemas.microsoft.com/office/drawing/2014/main" id="{726ED330-3A24-EC18-CFFC-AA11E49BFD35}"/>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5906750" y="276225"/>
              <a:ext cx="1828800" cy="266700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295275</xdr:colOff>
      <xdr:row>1</xdr:row>
      <xdr:rowOff>95250</xdr:rowOff>
    </xdr:from>
    <xdr:to>
      <xdr:col>27</xdr:col>
      <xdr:colOff>295275</xdr:colOff>
      <xdr:row>15</xdr:row>
      <xdr:rowOff>95250</xdr:rowOff>
    </xdr:to>
    <mc:AlternateContent xmlns:mc="http://schemas.openxmlformats.org/markup-compatibility/2006">
      <mc:Choice xmlns:a14="http://schemas.microsoft.com/office/drawing/2010/main" Requires="a14">
        <xdr:graphicFrame macro="">
          <xdr:nvGraphicFramePr>
            <xdr:cNvPr id="5" name="category 2">
              <a:extLst>
                <a:ext uri="{FF2B5EF4-FFF2-40B4-BE49-F238E27FC236}">
                  <a16:creationId xmlns:a16="http://schemas.microsoft.com/office/drawing/2014/main" id="{0FD944C8-6E05-38DB-0B0C-C4EEA7292EAA}"/>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7802225" y="285750"/>
              <a:ext cx="1828800" cy="266700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1238250</xdr:colOff>
      <xdr:row>8</xdr:row>
      <xdr:rowOff>114300</xdr:rowOff>
    </xdr:from>
    <xdr:to>
      <xdr:col>5</xdr:col>
      <xdr:colOff>1704975</xdr:colOff>
      <xdr:row>23</xdr:row>
      <xdr:rowOff>0</xdr:rowOff>
    </xdr:to>
    <xdr:graphicFrame macro="">
      <xdr:nvGraphicFramePr>
        <xdr:cNvPr id="5" name="Chart 4">
          <a:extLst>
            <a:ext uri="{FF2B5EF4-FFF2-40B4-BE49-F238E27FC236}">
              <a16:creationId xmlns:a16="http://schemas.microsoft.com/office/drawing/2014/main" id="{EF13EBB3-B782-4E5F-93B6-0F661CE30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276225</xdr:colOff>
      <xdr:row>8</xdr:row>
      <xdr:rowOff>85725</xdr:rowOff>
    </xdr:from>
    <xdr:to>
      <xdr:col>3</xdr:col>
      <xdr:colOff>1076325</xdr:colOff>
      <xdr:row>22</xdr:row>
      <xdr:rowOff>161925</xdr:rowOff>
    </xdr:to>
    <xdr:graphicFrame macro="">
      <xdr:nvGraphicFramePr>
        <xdr:cNvPr id="6" name="Chart 5">
          <a:extLst>
            <a:ext uri="{FF2B5EF4-FFF2-40B4-BE49-F238E27FC236}">
              <a16:creationId xmlns:a16="http://schemas.microsoft.com/office/drawing/2014/main" id="{48B8831A-5924-462B-AA2A-064FADB43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1971675</xdr:colOff>
      <xdr:row>8</xdr:row>
      <xdr:rowOff>142875</xdr:rowOff>
    </xdr:from>
    <xdr:to>
      <xdr:col>8</xdr:col>
      <xdr:colOff>133350</xdr:colOff>
      <xdr:row>23</xdr:row>
      <xdr:rowOff>28575</xdr:rowOff>
    </xdr:to>
    <xdr:graphicFrame macro="">
      <xdr:nvGraphicFramePr>
        <xdr:cNvPr id="8" name="Chart 7">
          <a:extLst>
            <a:ext uri="{FF2B5EF4-FFF2-40B4-BE49-F238E27FC236}">
              <a16:creationId xmlns:a16="http://schemas.microsoft.com/office/drawing/2014/main" id="{0B9547EA-000A-44D9-B426-D5EFC4E79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add" refreshedDate="45947.973175115738" createdVersion="8" refreshedVersion="8" minRefreshableVersion="3" recordCount="40" xr:uid="{B5412BFD-E8E7-4473-82F3-6E83F3DF64A0}">
  <cacheSource type="worksheet">
    <worksheetSource name="transactions"/>
  </cacheSource>
  <cacheFields count="8">
    <cacheField name="trans_id" numFmtId="0">
      <sharedItems/>
    </cacheField>
    <cacheField name="customer_id" numFmtId="0">
      <sharedItems count="15">
        <s v="C004"/>
        <s v="C010"/>
        <s v="C005"/>
        <s v="C009"/>
        <s v="C003"/>
        <s v="C017"/>
        <s v="C016"/>
        <s v="C018"/>
        <s v="C007"/>
        <s v="C012"/>
        <s v="C013"/>
        <s v="C020"/>
        <s v="C019"/>
        <s v="C014"/>
        <s v="C015"/>
      </sharedItems>
    </cacheField>
    <cacheField name="date" numFmtId="14">
      <sharedItems containsSemiMixedTypes="0" containsNonDate="0" containsDate="1" containsString="0" minDate="2024-01-10T00:00:00" maxDate="2025-07-28T00:00:00"/>
    </cacheField>
    <cacheField name="category" numFmtId="0">
      <sharedItems count="7">
        <s v="Groceries"/>
        <s v="Entertainment"/>
        <s v="Transport"/>
        <s v="Healthcare"/>
        <s v="Other"/>
        <s v="Utilities"/>
        <s v="Education"/>
      </sharedItems>
    </cacheField>
    <cacheField name="amount" numFmtId="44">
      <sharedItems containsSemiMixedTypes="0" containsString="0" containsNumber="1" containsInteger="1" minValue="54" maxValue="494"/>
    </cacheField>
    <cacheField name="payment_method" numFmtId="0">
      <sharedItems count="3">
        <s v="Card"/>
        <s v="Cash"/>
        <s v="Mobile Money"/>
      </sharedItems>
    </cacheField>
    <cacheField name="customer_name" numFmtId="0">
      <sharedItems/>
    </cacheField>
    <cacheField name="account_type" numFmtId="0">
      <sharedItems count="2">
        <s v="Current"/>
        <s v="Savings"/>
      </sharedItems>
    </cacheField>
  </cacheFields>
  <extLst>
    <ext xmlns:x14="http://schemas.microsoft.com/office/spreadsheetml/2009/9/main" uri="{725AE2AE-9491-48be-B2B4-4EB974FC3084}">
      <x14:pivotCacheDefinition pivotCacheId="2871530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add" refreshedDate="45947.982255208335" createdVersion="8" refreshedVersion="8" minRefreshableVersion="3" recordCount="20" xr:uid="{57954B7E-ADBF-4168-8808-7BD127D2B72B}">
  <cacheSource type="worksheet">
    <worksheetSource name="customers"/>
  </cacheSource>
  <cacheFields count="5">
    <cacheField name="customer_id" numFmtId="0">
      <sharedItems count="20">
        <s v="C001"/>
        <s v="C002"/>
        <s v="C003"/>
        <s v="C004"/>
        <s v="C005"/>
        <s v="C006"/>
        <s v="C007"/>
        <s v="C008"/>
        <s v="C009"/>
        <s v="C010"/>
        <s v="C011"/>
        <s v="C012"/>
        <s v="C013"/>
        <s v="C014"/>
        <s v="C015"/>
        <s v="C016"/>
        <s v="C017"/>
        <s v="C018"/>
        <s v="C019"/>
        <s v="C020"/>
      </sharedItems>
    </cacheField>
    <cacheField name="full_name" numFmtId="0">
      <sharedItems/>
    </cacheField>
    <cacheField name="region" numFmtId="0">
      <sharedItems count="6">
        <s v="Volta"/>
        <s v="Ashanti"/>
        <s v="Bono"/>
        <s v="Northern"/>
        <s v="Greater Accra"/>
        <s v="Western"/>
      </sharedItems>
    </cacheField>
    <cacheField name="age" numFmtId="0">
      <sharedItems containsSemiMixedTypes="0" containsString="0" containsNumber="1" containsInteger="1" minValue="20" maxValue="59"/>
    </cacheField>
    <cacheField name="occupation" numFmtId="0">
      <sharedItems count="6">
        <s v="Student"/>
        <s v="Trader"/>
        <s v="Farmer"/>
        <s v="Engineer"/>
        <s v="Banker"/>
        <s v="Teacher"/>
      </sharedItems>
    </cacheField>
  </cacheFields>
  <extLst>
    <ext xmlns:x14="http://schemas.microsoft.com/office/spreadsheetml/2009/9/main" uri="{725AE2AE-9491-48be-B2B4-4EB974FC3084}">
      <x14:pivotCacheDefinition pivotCacheId="19420291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T001"/>
    <x v="0"/>
    <d v="2024-11-05T00:00:00"/>
    <x v="0"/>
    <n v="171"/>
    <x v="0"/>
    <s v="Kojo Darko"/>
    <x v="0"/>
  </r>
  <r>
    <s v="T002"/>
    <x v="1"/>
    <d v="2025-06-25T00:00:00"/>
    <x v="1"/>
    <n v="243"/>
    <x v="1"/>
    <s v="Afia Mensah"/>
    <x v="0"/>
  </r>
  <r>
    <s v="T003"/>
    <x v="2"/>
    <d v="2025-07-21T00:00:00"/>
    <x v="2"/>
    <n v="54"/>
    <x v="0"/>
    <s v="Yaw Mensah"/>
    <x v="0"/>
  </r>
  <r>
    <s v="T004"/>
    <x v="3"/>
    <d v="2024-04-16T00:00:00"/>
    <x v="3"/>
    <n v="78"/>
    <x v="1"/>
    <s v="Esi Mensah"/>
    <x v="0"/>
  </r>
  <r>
    <s v="T005"/>
    <x v="4"/>
    <d v="2024-09-27T00:00:00"/>
    <x v="1"/>
    <n v="214"/>
    <x v="0"/>
    <s v="Afia Darko"/>
    <x v="0"/>
  </r>
  <r>
    <s v="T006"/>
    <x v="5"/>
    <d v="2024-04-19T00:00:00"/>
    <x v="3"/>
    <n v="471"/>
    <x v="2"/>
    <s v="Yaw Asare"/>
    <x v="0"/>
  </r>
  <r>
    <s v="T007"/>
    <x v="4"/>
    <d v="2025-07-20T00:00:00"/>
    <x v="4"/>
    <n v="388"/>
    <x v="0"/>
    <s v="Afia Darko"/>
    <x v="0"/>
  </r>
  <r>
    <s v="T008"/>
    <x v="6"/>
    <d v="2024-10-05T00:00:00"/>
    <x v="0"/>
    <n v="185"/>
    <x v="1"/>
    <s v="Yaw Boateng"/>
    <x v="0"/>
  </r>
  <r>
    <s v="T009"/>
    <x v="0"/>
    <d v="2024-08-03T00:00:00"/>
    <x v="4"/>
    <n v="414"/>
    <x v="0"/>
    <s v="Kojo Darko"/>
    <x v="0"/>
  </r>
  <r>
    <s v="T010"/>
    <x v="7"/>
    <d v="2024-12-17T00:00:00"/>
    <x v="3"/>
    <n v="370"/>
    <x v="0"/>
    <s v="Adjoa Mensah"/>
    <x v="0"/>
  </r>
  <r>
    <s v="T011"/>
    <x v="5"/>
    <d v="2024-09-27T00:00:00"/>
    <x v="3"/>
    <n v="391"/>
    <x v="0"/>
    <s v="Yaw Asare"/>
    <x v="0"/>
  </r>
  <r>
    <s v="T012"/>
    <x v="8"/>
    <d v="2025-05-15T00:00:00"/>
    <x v="5"/>
    <n v="194"/>
    <x v="2"/>
    <s v="Adjoa Mensah"/>
    <x v="0"/>
  </r>
  <r>
    <s v="T013"/>
    <x v="2"/>
    <d v="2024-02-22T00:00:00"/>
    <x v="5"/>
    <n v="376"/>
    <x v="0"/>
    <s v="Yaw Mensah"/>
    <x v="0"/>
  </r>
  <r>
    <s v="T014"/>
    <x v="9"/>
    <d v="2025-03-09T00:00:00"/>
    <x v="4"/>
    <n v="266"/>
    <x v="2"/>
    <s v="Afia Darko"/>
    <x v="1"/>
  </r>
  <r>
    <s v="T015"/>
    <x v="5"/>
    <d v="2024-02-15T00:00:00"/>
    <x v="6"/>
    <n v="350"/>
    <x v="2"/>
    <s v="Yaw Asare"/>
    <x v="0"/>
  </r>
  <r>
    <s v="T016"/>
    <x v="10"/>
    <d v="2024-12-07T00:00:00"/>
    <x v="4"/>
    <n v="181"/>
    <x v="0"/>
    <s v="Kojo Asare"/>
    <x v="0"/>
  </r>
  <r>
    <s v="T017"/>
    <x v="4"/>
    <d v="2024-09-25T00:00:00"/>
    <x v="5"/>
    <n v="341"/>
    <x v="0"/>
    <s v="Afia Darko"/>
    <x v="0"/>
  </r>
  <r>
    <s v="T018"/>
    <x v="3"/>
    <d v="2025-03-28T00:00:00"/>
    <x v="3"/>
    <n v="119"/>
    <x v="0"/>
    <s v="Esi Mensah"/>
    <x v="0"/>
  </r>
  <r>
    <s v="T019"/>
    <x v="5"/>
    <d v="2025-03-13T00:00:00"/>
    <x v="2"/>
    <n v="301"/>
    <x v="1"/>
    <s v="Yaw Asare"/>
    <x v="0"/>
  </r>
  <r>
    <s v="T020"/>
    <x v="5"/>
    <d v="2024-01-10T00:00:00"/>
    <x v="4"/>
    <n v="464"/>
    <x v="0"/>
    <s v="Yaw Asare"/>
    <x v="0"/>
  </r>
  <r>
    <s v="T021"/>
    <x v="11"/>
    <d v="2024-03-18T00:00:00"/>
    <x v="3"/>
    <n v="324"/>
    <x v="2"/>
    <s v="Afia Darko"/>
    <x v="0"/>
  </r>
  <r>
    <s v="T022"/>
    <x v="6"/>
    <d v="2024-06-01T00:00:00"/>
    <x v="2"/>
    <n v="494"/>
    <x v="0"/>
    <s v="Yaw Boateng"/>
    <x v="0"/>
  </r>
  <r>
    <s v="T023"/>
    <x v="10"/>
    <d v="2024-02-06T00:00:00"/>
    <x v="2"/>
    <n v="413"/>
    <x v="1"/>
    <s v="Kojo Asare"/>
    <x v="0"/>
  </r>
  <r>
    <s v="T024"/>
    <x v="12"/>
    <d v="2025-07-19T00:00:00"/>
    <x v="5"/>
    <n v="231"/>
    <x v="0"/>
    <s v="Yaw Boateng"/>
    <x v="0"/>
  </r>
  <r>
    <s v="T025"/>
    <x v="5"/>
    <d v="2025-03-16T00:00:00"/>
    <x v="4"/>
    <n v="216"/>
    <x v="1"/>
    <s v="Yaw Asare"/>
    <x v="0"/>
  </r>
  <r>
    <s v="T026"/>
    <x v="0"/>
    <d v="2024-02-12T00:00:00"/>
    <x v="1"/>
    <n v="140"/>
    <x v="1"/>
    <s v="Kojo Darko"/>
    <x v="0"/>
  </r>
  <r>
    <s v="T027"/>
    <x v="9"/>
    <d v="2025-01-08T00:00:00"/>
    <x v="0"/>
    <n v="251"/>
    <x v="0"/>
    <s v="Afia Darko"/>
    <x v="1"/>
  </r>
  <r>
    <s v="T028"/>
    <x v="3"/>
    <d v="2025-01-01T00:00:00"/>
    <x v="5"/>
    <n v="395"/>
    <x v="2"/>
    <s v="Esi Mensah"/>
    <x v="0"/>
  </r>
  <r>
    <s v="T029"/>
    <x v="12"/>
    <d v="2024-09-12T00:00:00"/>
    <x v="5"/>
    <n v="68"/>
    <x v="1"/>
    <s v="Yaw Boateng"/>
    <x v="0"/>
  </r>
  <r>
    <s v="T030"/>
    <x v="9"/>
    <d v="2024-04-15T00:00:00"/>
    <x v="1"/>
    <n v="88"/>
    <x v="0"/>
    <s v="Afia Darko"/>
    <x v="1"/>
  </r>
  <r>
    <s v="T031"/>
    <x v="3"/>
    <d v="2025-07-27T00:00:00"/>
    <x v="0"/>
    <n v="175"/>
    <x v="0"/>
    <s v="Esi Mensah"/>
    <x v="0"/>
  </r>
  <r>
    <s v="T032"/>
    <x v="8"/>
    <d v="2024-06-07T00:00:00"/>
    <x v="3"/>
    <n v="222"/>
    <x v="2"/>
    <s v="Adjoa Mensah"/>
    <x v="0"/>
  </r>
  <r>
    <s v="T033"/>
    <x v="13"/>
    <d v="2024-06-15T00:00:00"/>
    <x v="6"/>
    <n v="190"/>
    <x v="1"/>
    <s v="Kofi Darko"/>
    <x v="0"/>
  </r>
  <r>
    <s v="T034"/>
    <x v="11"/>
    <d v="2025-02-26T00:00:00"/>
    <x v="4"/>
    <n v="291"/>
    <x v="1"/>
    <s v="Afia Darko"/>
    <x v="0"/>
  </r>
  <r>
    <s v="T035"/>
    <x v="12"/>
    <d v="2024-07-02T00:00:00"/>
    <x v="6"/>
    <n v="269"/>
    <x v="0"/>
    <s v="Yaw Boateng"/>
    <x v="0"/>
  </r>
  <r>
    <s v="T036"/>
    <x v="14"/>
    <d v="2024-12-06T00:00:00"/>
    <x v="3"/>
    <n v="175"/>
    <x v="0"/>
    <s v="Adjoa Darko"/>
    <x v="0"/>
  </r>
  <r>
    <s v="T037"/>
    <x v="6"/>
    <d v="2024-09-11T00:00:00"/>
    <x v="5"/>
    <n v="107"/>
    <x v="2"/>
    <s v="Yaw Boateng"/>
    <x v="0"/>
  </r>
  <r>
    <s v="T038"/>
    <x v="2"/>
    <d v="2024-06-12T00:00:00"/>
    <x v="0"/>
    <n v="197"/>
    <x v="2"/>
    <s v="Yaw Mensah"/>
    <x v="0"/>
  </r>
  <r>
    <s v="T039"/>
    <x v="4"/>
    <d v="2024-04-20T00:00:00"/>
    <x v="5"/>
    <n v="366"/>
    <x v="1"/>
    <s v="Afia Darko"/>
    <x v="0"/>
  </r>
  <r>
    <s v="T040"/>
    <x v="9"/>
    <d v="2024-02-09T00:00:00"/>
    <x v="2"/>
    <n v="432"/>
    <x v="1"/>
    <s v="Afia Darko"/>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Kojo Asare"/>
    <x v="0"/>
    <n v="54"/>
    <x v="0"/>
  </r>
  <r>
    <x v="1"/>
    <s v="Kojo Asare"/>
    <x v="1"/>
    <n v="52"/>
    <x v="1"/>
  </r>
  <r>
    <x v="2"/>
    <s v="Afia Darko"/>
    <x v="0"/>
    <n v="52"/>
    <x v="1"/>
  </r>
  <r>
    <x v="3"/>
    <s v="Kojo Darko"/>
    <x v="2"/>
    <n v="56"/>
    <x v="1"/>
  </r>
  <r>
    <x v="4"/>
    <s v="Yaw Mensah"/>
    <x v="1"/>
    <n v="31"/>
    <x v="2"/>
  </r>
  <r>
    <x v="5"/>
    <s v="Adjoa Mensah"/>
    <x v="1"/>
    <n v="22"/>
    <x v="1"/>
  </r>
  <r>
    <x v="6"/>
    <s v="Adjoa Mensah"/>
    <x v="3"/>
    <n v="20"/>
    <x v="3"/>
  </r>
  <r>
    <x v="7"/>
    <s v="Afia Boateng"/>
    <x v="1"/>
    <n v="52"/>
    <x v="4"/>
  </r>
  <r>
    <x v="8"/>
    <s v="Esi Mensah"/>
    <x v="4"/>
    <n v="59"/>
    <x v="5"/>
  </r>
  <r>
    <x v="9"/>
    <s v="Afia Mensah"/>
    <x v="5"/>
    <n v="29"/>
    <x v="1"/>
  </r>
  <r>
    <x v="10"/>
    <s v="Kofi Asare"/>
    <x v="5"/>
    <n v="48"/>
    <x v="0"/>
  </r>
  <r>
    <x v="11"/>
    <s v="Afia Darko"/>
    <x v="0"/>
    <n v="32"/>
    <x v="1"/>
  </r>
  <r>
    <x v="12"/>
    <s v="Kojo Asare"/>
    <x v="2"/>
    <n v="31"/>
    <x v="0"/>
  </r>
  <r>
    <x v="13"/>
    <s v="Kofi Darko"/>
    <x v="1"/>
    <n v="50"/>
    <x v="3"/>
  </r>
  <r>
    <x v="14"/>
    <s v="Adjoa Darko"/>
    <x v="4"/>
    <n v="21"/>
    <x v="0"/>
  </r>
  <r>
    <x v="15"/>
    <s v="Yaw Boateng"/>
    <x v="0"/>
    <n v="54"/>
    <x v="5"/>
  </r>
  <r>
    <x v="16"/>
    <s v="Yaw Asare"/>
    <x v="3"/>
    <n v="42"/>
    <x v="4"/>
  </r>
  <r>
    <x v="17"/>
    <s v="Adjoa Mensah"/>
    <x v="0"/>
    <n v="36"/>
    <x v="0"/>
  </r>
  <r>
    <x v="18"/>
    <s v="Yaw Boateng"/>
    <x v="0"/>
    <n v="45"/>
    <x v="0"/>
  </r>
  <r>
    <x v="19"/>
    <s v="Afia Darko"/>
    <x v="1"/>
    <n v="27"/>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7437F6-9E86-423C-B268-129D34963FA5}" name="PivotTable42"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3:G10" firstHeaderRow="1" firstDataRow="1" firstDataCol="1"/>
  <pivotFields count="5">
    <pivotField dataField="1"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7">
        <item x="1"/>
        <item x="2"/>
        <item x="4"/>
        <item x="3"/>
        <item x="0"/>
        <item x="5"/>
        <item t="default"/>
      </items>
    </pivotField>
    <pivotField showAll="0"/>
    <pivotField showAll="0">
      <items count="7">
        <item x="4"/>
        <item x="3"/>
        <item x="2"/>
        <item x="0"/>
        <item x="5"/>
        <item x="1"/>
        <item t="default"/>
      </items>
    </pivotField>
  </pivotFields>
  <rowFields count="1">
    <field x="2"/>
  </rowFields>
  <rowItems count="7">
    <i>
      <x/>
    </i>
    <i>
      <x v="1"/>
    </i>
    <i>
      <x v="2"/>
    </i>
    <i>
      <x v="3"/>
    </i>
    <i>
      <x v="4"/>
    </i>
    <i>
      <x v="5"/>
    </i>
    <i t="grand">
      <x/>
    </i>
  </rowItems>
  <colItems count="1">
    <i/>
  </colItems>
  <dataFields count="1">
    <dataField name="Count of customer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907EFD-3313-4A29-B4A7-0825CD61F5B9}" name="PivotTable32" cacheId="9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3:B9" firstHeaderRow="1" firstDataRow="1" firstDataCol="1"/>
  <pivotFields count="8">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5">
        <item x="4"/>
        <item x="0"/>
        <item x="2"/>
        <item x="8"/>
        <item x="3"/>
        <item x="1"/>
        <item x="9"/>
        <item x="10"/>
        <item x="13"/>
        <item x="14"/>
        <item x="6"/>
        <item x="5"/>
        <item x="7"/>
        <item x="12"/>
        <item x="11"/>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items count="7">
        <item h="1" x="6"/>
        <item h="1" x="1"/>
        <item h="1" x="0"/>
        <item h="1" x="3"/>
        <item x="4"/>
        <item h="1" x="2"/>
        <item h="1" x="5"/>
      </items>
      <extLst>
        <ext xmlns:x14="http://schemas.microsoft.com/office/spreadsheetml/2009/9/main" uri="{2946ED86-A175-432a-8AC1-64E0C546D7DE}">
          <x14:pivotField fillDownLabels="1"/>
        </ext>
      </extLst>
    </pivotField>
    <pivotField dataField="1" compact="0" numFmtId="4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
  </rowFields>
  <rowItems count="6">
    <i>
      <x/>
    </i>
    <i>
      <x v="1"/>
    </i>
    <i>
      <x v="6"/>
    </i>
    <i>
      <x v="7"/>
    </i>
    <i>
      <x v="11"/>
    </i>
    <i>
      <x v="14"/>
    </i>
  </rowItems>
  <colItems count="1">
    <i/>
  </colItems>
  <dataFields count="1">
    <dataField name="Sum of amount" fld="4" baseField="0" baseItem="0" numFmtId="44"/>
  </dataField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14C9FD-BE55-49B0-9AFB-946BC1C9561C}" name="PivotTable38"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2:J13" firstHeaderRow="1" firstDataRow="1" firstDataCol="1"/>
  <pivotFields count="8">
    <pivotField showAll="0"/>
    <pivotField axis="axisRow" showAll="0">
      <items count="16">
        <item x="4"/>
        <item x="0"/>
        <item x="2"/>
        <item x="8"/>
        <item x="3"/>
        <item x="1"/>
        <item x="9"/>
        <item x="10"/>
        <item x="13"/>
        <item x="14"/>
        <item x="6"/>
        <item x="5"/>
        <item x="7"/>
        <item x="12"/>
        <item x="11"/>
        <item t="default"/>
      </items>
    </pivotField>
    <pivotField numFmtId="14" showAll="0"/>
    <pivotField showAll="0">
      <items count="8">
        <item x="6"/>
        <item x="1"/>
        <item x="0"/>
        <item x="3"/>
        <item x="4"/>
        <item x="2"/>
        <item x="5"/>
        <item t="default"/>
      </items>
    </pivotField>
    <pivotField dataField="1" numFmtId="44" showAll="0"/>
    <pivotField showAll="0">
      <items count="4">
        <item x="0"/>
        <item h="1" x="1"/>
        <item h="1" x="2"/>
        <item t="default"/>
      </items>
    </pivotField>
    <pivotField showAll="0"/>
    <pivotField showAll="0">
      <items count="3">
        <item x="0"/>
        <item h="1" x="1"/>
        <item t="default"/>
      </items>
    </pivotField>
  </pivotFields>
  <rowFields count="1">
    <field x="1"/>
  </rowFields>
  <rowItems count="11">
    <i>
      <x/>
    </i>
    <i>
      <x v="1"/>
    </i>
    <i>
      <x v="2"/>
    </i>
    <i>
      <x v="4"/>
    </i>
    <i>
      <x v="7"/>
    </i>
    <i>
      <x v="9"/>
    </i>
    <i>
      <x v="10"/>
    </i>
    <i>
      <x v="11"/>
    </i>
    <i>
      <x v="12"/>
    </i>
    <i>
      <x v="13"/>
    </i>
    <i t="grand">
      <x/>
    </i>
  </rowItems>
  <colItems count="1">
    <i/>
  </colItems>
  <dataFields count="1">
    <dataField name="Sum of amount" fld="4"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F18CBC2-4CBB-44F9-8502-A21DBA2B9DB9}" autoFormatId="16" applyNumberFormats="0" applyBorderFormats="0" applyFontFormats="0" applyPatternFormats="0" applyAlignmentFormats="0" applyWidthHeightFormats="0">
  <queryTableRefresh nextId="6">
    <queryTableFields count="5">
      <queryTableField id="1" name="customer_id" tableColumnId="1"/>
      <queryTableField id="2" name="full_name" tableColumnId="2"/>
      <queryTableField id="3" name="region" tableColumnId="3"/>
      <queryTableField id="4" name="age" tableColumnId="4"/>
      <queryTableField id="5" name="occupat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E4242294-61BF-4113-8BC9-72469BBCB37E}" autoFormatId="16" applyNumberFormats="0" applyBorderFormats="0" applyFontFormats="0" applyPatternFormats="0" applyAlignmentFormats="0" applyWidthHeightFormats="0">
  <queryTableRefresh nextId="9" unboundColumnsRight="2">
    <queryTableFields count="8">
      <queryTableField id="1" name="trans_id" tableColumnId="1"/>
      <queryTableField id="2" name="customer_id" tableColumnId="2"/>
      <queryTableField id="3" name="date" tableColumnId="3"/>
      <queryTableField id="4" name="category" tableColumnId="4"/>
      <queryTableField id="5" name="amount" tableColumnId="5"/>
      <queryTableField id="6" name="payment_method" tableColumnId="6"/>
      <queryTableField id="7" dataBound="0"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E566463-DCA6-4C64-B42D-E83CE16D2A9D}" sourceName="category">
  <pivotTables>
    <pivotTable tabId="18" name="PivotTable32"/>
  </pivotTables>
  <data>
    <tabular pivotCacheId="287153048">
      <items count="7">
        <i x="6"/>
        <i x="1"/>
        <i x="0"/>
        <i x="3"/>
        <i x="4" s="1"/>
        <i x="2"/>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63187470-F7B6-42A1-8EA0-D101A92E50B6}" sourceName="account_type">
  <pivotTables>
    <pivotTable tabId="4" name="PivotTable38"/>
  </pivotTables>
  <data>
    <tabular pivotCacheId="287153048">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1C780E6-B4CB-4DAF-98DD-3768612A0690}" sourceName="payment_method">
  <pivotTables>
    <pivotTable tabId="4" name="PivotTable38"/>
  </pivotTables>
  <data>
    <tabular pivotCacheId="287153048">
      <items count="3">
        <i x="0" s="1"/>
        <i x="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2704F671-A44F-4ADD-9DD5-D6ED4DE0CB50}" sourceName="category">
  <pivotTables>
    <pivotTable tabId="4" name="PivotTable38"/>
  </pivotTables>
  <data>
    <tabular pivotCacheId="287153048">
      <items count="7">
        <i x="6" s="1"/>
        <i x="1" s="1"/>
        <i x="0" s="1"/>
        <i x="3" s="1"/>
        <i x="4" s="1"/>
        <i x="2"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9F6DBB4-A6E6-4F88-91FB-EA5E4B33F03F}" sourceName="occupation">
  <pivotTables>
    <pivotTable tabId="3" name="PivotTable42"/>
  </pivotTables>
  <data>
    <tabular pivotCacheId="1942029107">
      <items count="6">
        <i x="4" s="1"/>
        <i x="3" s="1"/>
        <i x="2" s="1"/>
        <i x="0"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xr10:uid="{2B35CADE-27A9-48AB-ABB0-B4BA8E6127B5}" cache="Slicer_occupation" caption="occupat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AFABF97-2847-4563-84E1-522A05DDDE25}" cache="Slicer_category1" caption="category"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_type" xr10:uid="{41043685-9DF4-4288-8957-CCD44990BCF0}" cache="Slicer_account_type" caption="account_type" rowHeight="257175"/>
  <slicer name="payment_method" xr10:uid="{464B40F7-A4EC-4B9B-A29E-2B81202F1C1D}" cache="Slicer_payment_method" caption="payment_method" rowHeight="257175"/>
  <slicer name="category 2" xr10:uid="{F21899AC-3AF6-454C-92A2-B130A59CD997}" cache="Slicer_category2" caption="category"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E4DA86-57A8-4179-8CFE-AAB7DC997EB2}" name="customers" displayName="customers" ref="A1:E21" tableType="queryTable" totalsRowShown="0">
  <autoFilter ref="A1:E21" xr:uid="{C6E4DA86-57A8-4179-8CFE-AAB7DC997EB2}"/>
  <tableColumns count="5">
    <tableColumn id="1" xr3:uid="{A1A0E1ED-025A-4A66-A2B9-8F2A2B577C6C}" uniqueName="1" name="customer_id" queryTableFieldId="1" dataDxfId="4"/>
    <tableColumn id="2" xr3:uid="{8EEFBF0B-2BE1-4303-8CFA-9D0142C2CE30}" uniqueName="2" name="full_name" queryTableFieldId="2" dataDxfId="3"/>
    <tableColumn id="3" xr3:uid="{B501D107-9A86-48C0-AAD1-7D3CCFC25037}" uniqueName="3" name="region" queryTableFieldId="3" dataDxfId="2"/>
    <tableColumn id="4" xr3:uid="{1E02CB40-3AC5-4C89-8CF5-F3D4EA1EFE33}" uniqueName="4" name="age" queryTableFieldId="4"/>
    <tableColumn id="5" xr3:uid="{93C4DC23-C947-4E03-A57D-84F5F8673884}" uniqueName="5" name="occupation" queryTableFieldId="5"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393149-C48E-4C93-ABE4-2D62531371B4}" name="transactions" displayName="transactions" ref="A1:H41" tableType="queryTable" totalsRowShown="0">
  <autoFilter ref="A1:H41" xr:uid="{BD393149-C48E-4C93-ABE4-2D62531371B4}"/>
  <tableColumns count="8">
    <tableColumn id="1" xr3:uid="{553B2AC5-6BFC-4391-A74D-0DC75884C83F}" uniqueName="1" name="trans_id" queryTableFieldId="1" dataDxfId="11"/>
    <tableColumn id="2" xr3:uid="{AB97E6D3-98A3-477A-94BC-B138DA10D331}" uniqueName="2" name="customer_id" queryTableFieldId="2" dataDxfId="10"/>
    <tableColumn id="3" xr3:uid="{42945FD6-C797-4F02-A0E1-B42A04879A7E}" uniqueName="3" name="date" queryTableFieldId="3" dataDxfId="9"/>
    <tableColumn id="4" xr3:uid="{7336B8D2-B736-4156-A982-4522CCAE96C8}" uniqueName="4" name="category" queryTableFieldId="4" dataDxfId="8"/>
    <tableColumn id="5" xr3:uid="{26C78BE4-B8A5-4F19-B4FB-784DFED458F3}" uniqueName="5" name="amount" queryTableFieldId="5" dataDxfId="7" dataCellStyle="Currency"/>
    <tableColumn id="6" xr3:uid="{75C59D29-0E02-452F-9024-0EE953F8C82A}" uniqueName="6" name="payment_method" queryTableFieldId="6" dataDxfId="6"/>
    <tableColumn id="7" xr3:uid="{69937D55-DAFC-477D-A6CE-92E24E61F023}" uniqueName="7" name="customer_name" queryTableFieldId="7" dataDxfId="5">
      <calculatedColumnFormula>VLOOKUP(transactions[[#This Row],[customer_id]], customers[[customer_id]:[full_name]], 2, FALSE)</calculatedColumnFormula>
    </tableColumn>
    <tableColumn id="8" xr3:uid="{FA1DF687-94F7-457E-9240-E27C3E33FDE7}" uniqueName="8" name="account_type" queryTableFieldId="8" dataDxfId="0">
      <calculatedColumnFormula>VLOOKUP(transactions[[#This Row],[customer_id]], #REF!, 2, 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87A24-B022-43BD-82E6-B482E2847DDA}">
  <dimension ref="A1:G21"/>
  <sheetViews>
    <sheetView tabSelected="1" workbookViewId="0">
      <selection activeCell="F3" sqref="F3"/>
    </sheetView>
  </sheetViews>
  <sheetFormatPr defaultRowHeight="15" x14ac:dyDescent="0.25"/>
  <cols>
    <col min="1" max="1" width="14.42578125" bestFit="1" customWidth="1"/>
    <col min="2" max="2" width="13.7109375" bestFit="1" customWidth="1"/>
    <col min="3" max="3" width="12.85546875" bestFit="1" customWidth="1"/>
    <col min="4" max="4" width="6.42578125" bestFit="1" customWidth="1"/>
    <col min="5" max="5" width="13.28515625" bestFit="1" customWidth="1"/>
    <col min="6" max="6" width="13.42578125" bestFit="1" customWidth="1"/>
    <col min="7" max="7" width="20.7109375" bestFit="1" customWidth="1"/>
    <col min="8" max="26" width="5.42578125" bestFit="1" customWidth="1"/>
    <col min="27" max="27" width="11.28515625" bestFit="1" customWidth="1"/>
  </cols>
  <sheetData>
    <row r="1" spans="1:7" x14ac:dyDescent="0.25">
      <c r="A1" t="s">
        <v>0</v>
      </c>
      <c r="B1" t="s">
        <v>22</v>
      </c>
      <c r="C1" t="s">
        <v>23</v>
      </c>
      <c r="D1" t="s">
        <v>24</v>
      </c>
      <c r="E1" t="s">
        <v>25</v>
      </c>
    </row>
    <row r="2" spans="1:7" x14ac:dyDescent="0.25">
      <c r="A2" s="2" t="s">
        <v>2</v>
      </c>
      <c r="B2" s="2" t="s">
        <v>26</v>
      </c>
      <c r="C2" s="2" t="s">
        <v>27</v>
      </c>
      <c r="D2">
        <v>54</v>
      </c>
      <c r="E2" s="2" t="s">
        <v>28</v>
      </c>
    </row>
    <row r="3" spans="1:7" x14ac:dyDescent="0.25">
      <c r="A3" s="2" t="s">
        <v>3</v>
      </c>
      <c r="B3" s="2" t="s">
        <v>26</v>
      </c>
      <c r="C3" s="2" t="s">
        <v>29</v>
      </c>
      <c r="D3">
        <v>52</v>
      </c>
      <c r="E3" s="2" t="s">
        <v>30</v>
      </c>
      <c r="F3" s="6" t="s">
        <v>107</v>
      </c>
      <c r="G3" t="s">
        <v>109</v>
      </c>
    </row>
    <row r="4" spans="1:7" x14ac:dyDescent="0.25">
      <c r="A4" s="2" t="s">
        <v>4</v>
      </c>
      <c r="B4" s="2" t="s">
        <v>31</v>
      </c>
      <c r="C4" s="2" t="s">
        <v>27</v>
      </c>
      <c r="D4">
        <v>52</v>
      </c>
      <c r="E4" s="2" t="s">
        <v>30</v>
      </c>
      <c r="F4" s="7" t="s">
        <v>29</v>
      </c>
      <c r="G4" s="2">
        <v>6</v>
      </c>
    </row>
    <row r="5" spans="1:7" x14ac:dyDescent="0.25">
      <c r="A5" s="2" t="s">
        <v>5</v>
      </c>
      <c r="B5" s="2" t="s">
        <v>32</v>
      </c>
      <c r="C5" s="2" t="s">
        <v>33</v>
      </c>
      <c r="D5">
        <v>56</v>
      </c>
      <c r="E5" s="2" t="s">
        <v>30</v>
      </c>
      <c r="F5" s="7" t="s">
        <v>33</v>
      </c>
      <c r="G5" s="2">
        <v>2</v>
      </c>
    </row>
    <row r="6" spans="1:7" x14ac:dyDescent="0.25">
      <c r="A6" s="2" t="s">
        <v>6</v>
      </c>
      <c r="B6" s="2" t="s">
        <v>34</v>
      </c>
      <c r="C6" s="2" t="s">
        <v>29</v>
      </c>
      <c r="D6">
        <v>31</v>
      </c>
      <c r="E6" s="2" t="s">
        <v>35</v>
      </c>
      <c r="F6" s="7" t="s">
        <v>42</v>
      </c>
      <c r="G6" s="2">
        <v>2</v>
      </c>
    </row>
    <row r="7" spans="1:7" x14ac:dyDescent="0.25">
      <c r="A7" s="2" t="s">
        <v>7</v>
      </c>
      <c r="B7" s="2" t="s">
        <v>36</v>
      </c>
      <c r="C7" s="2" t="s">
        <v>29</v>
      </c>
      <c r="D7">
        <v>22</v>
      </c>
      <c r="E7" s="2" t="s">
        <v>30</v>
      </c>
      <c r="F7" s="7" t="s">
        <v>37</v>
      </c>
      <c r="G7" s="2">
        <v>2</v>
      </c>
    </row>
    <row r="8" spans="1:7" x14ac:dyDescent="0.25">
      <c r="A8" s="2" t="s">
        <v>8</v>
      </c>
      <c r="B8" s="2" t="s">
        <v>36</v>
      </c>
      <c r="C8" s="2" t="s">
        <v>37</v>
      </c>
      <c r="D8">
        <v>20</v>
      </c>
      <c r="E8" s="2" t="s">
        <v>38</v>
      </c>
      <c r="F8" s="7" t="s">
        <v>27</v>
      </c>
      <c r="G8" s="2">
        <v>6</v>
      </c>
    </row>
    <row r="9" spans="1:7" x14ac:dyDescent="0.25">
      <c r="A9" s="2" t="s">
        <v>9</v>
      </c>
      <c r="B9" s="2" t="s">
        <v>39</v>
      </c>
      <c r="C9" s="2" t="s">
        <v>29</v>
      </c>
      <c r="D9">
        <v>52</v>
      </c>
      <c r="E9" s="2" t="s">
        <v>40</v>
      </c>
      <c r="F9" s="7" t="s">
        <v>45</v>
      </c>
      <c r="G9" s="2">
        <v>2</v>
      </c>
    </row>
    <row r="10" spans="1:7" x14ac:dyDescent="0.25">
      <c r="A10" s="2" t="s">
        <v>10</v>
      </c>
      <c r="B10" s="2" t="s">
        <v>41</v>
      </c>
      <c r="C10" s="2" t="s">
        <v>42</v>
      </c>
      <c r="D10">
        <v>59</v>
      </c>
      <c r="E10" s="2" t="s">
        <v>43</v>
      </c>
      <c r="F10" s="7" t="s">
        <v>106</v>
      </c>
      <c r="G10" s="2">
        <v>20</v>
      </c>
    </row>
    <row r="11" spans="1:7" x14ac:dyDescent="0.25">
      <c r="A11" s="2" t="s">
        <v>11</v>
      </c>
      <c r="B11" s="2" t="s">
        <v>44</v>
      </c>
      <c r="C11" s="2" t="s">
        <v>45</v>
      </c>
      <c r="D11">
        <v>29</v>
      </c>
      <c r="E11" s="2" t="s">
        <v>30</v>
      </c>
    </row>
    <row r="12" spans="1:7" x14ac:dyDescent="0.25">
      <c r="A12" s="2" t="s">
        <v>12</v>
      </c>
      <c r="B12" s="2" t="s">
        <v>46</v>
      </c>
      <c r="C12" s="2" t="s">
        <v>45</v>
      </c>
      <c r="D12">
        <v>48</v>
      </c>
      <c r="E12" s="2" t="s">
        <v>28</v>
      </c>
    </row>
    <row r="13" spans="1:7" x14ac:dyDescent="0.25">
      <c r="A13" s="2" t="s">
        <v>13</v>
      </c>
      <c r="B13" s="2" t="s">
        <v>31</v>
      </c>
      <c r="C13" s="2" t="s">
        <v>27</v>
      </c>
      <c r="D13">
        <v>32</v>
      </c>
      <c r="E13" s="2" t="s">
        <v>30</v>
      </c>
    </row>
    <row r="14" spans="1:7" x14ac:dyDescent="0.25">
      <c r="A14" s="2" t="s">
        <v>14</v>
      </c>
      <c r="B14" s="2" t="s">
        <v>26</v>
      </c>
      <c r="C14" s="2" t="s">
        <v>33</v>
      </c>
      <c r="D14">
        <v>31</v>
      </c>
      <c r="E14" s="2" t="s">
        <v>28</v>
      </c>
    </row>
    <row r="15" spans="1:7" x14ac:dyDescent="0.25">
      <c r="A15" s="2" t="s">
        <v>15</v>
      </c>
      <c r="B15" s="2" t="s">
        <v>47</v>
      </c>
      <c r="C15" s="2" t="s">
        <v>29</v>
      </c>
      <c r="D15">
        <v>50</v>
      </c>
      <c r="E15" s="2" t="s">
        <v>38</v>
      </c>
    </row>
    <row r="16" spans="1:7" x14ac:dyDescent="0.25">
      <c r="A16" s="2" t="s">
        <v>16</v>
      </c>
      <c r="B16" s="2" t="s">
        <v>48</v>
      </c>
      <c r="C16" s="2" t="s">
        <v>42</v>
      </c>
      <c r="D16">
        <v>21</v>
      </c>
      <c r="E16" s="2" t="s">
        <v>28</v>
      </c>
    </row>
    <row r="17" spans="1:5" x14ac:dyDescent="0.25">
      <c r="A17" s="2" t="s">
        <v>17</v>
      </c>
      <c r="B17" s="2" t="s">
        <v>49</v>
      </c>
      <c r="C17" s="2" t="s">
        <v>27</v>
      </c>
      <c r="D17">
        <v>54</v>
      </c>
      <c r="E17" s="2" t="s">
        <v>43</v>
      </c>
    </row>
    <row r="18" spans="1:5" x14ac:dyDescent="0.25">
      <c r="A18" s="2" t="s">
        <v>18</v>
      </c>
      <c r="B18" s="2" t="s">
        <v>50</v>
      </c>
      <c r="C18" s="2" t="s">
        <v>37</v>
      </c>
      <c r="D18">
        <v>42</v>
      </c>
      <c r="E18" s="2" t="s">
        <v>40</v>
      </c>
    </row>
    <row r="19" spans="1:5" x14ac:dyDescent="0.25">
      <c r="A19" s="2" t="s">
        <v>19</v>
      </c>
      <c r="B19" s="2" t="s">
        <v>36</v>
      </c>
      <c r="C19" s="2" t="s">
        <v>27</v>
      </c>
      <c r="D19">
        <v>36</v>
      </c>
      <c r="E19" s="2" t="s">
        <v>28</v>
      </c>
    </row>
    <row r="20" spans="1:5" x14ac:dyDescent="0.25">
      <c r="A20" s="2" t="s">
        <v>20</v>
      </c>
      <c r="B20" s="2" t="s">
        <v>49</v>
      </c>
      <c r="C20" s="2" t="s">
        <v>27</v>
      </c>
      <c r="D20">
        <v>45</v>
      </c>
      <c r="E20" s="2" t="s">
        <v>28</v>
      </c>
    </row>
    <row r="21" spans="1:5" x14ac:dyDescent="0.25">
      <c r="A21" s="2" t="s">
        <v>21</v>
      </c>
      <c r="B21" s="2" t="s">
        <v>31</v>
      </c>
      <c r="C21" s="2" t="s">
        <v>29</v>
      </c>
      <c r="D21">
        <v>27</v>
      </c>
      <c r="E21" s="2" t="s">
        <v>40</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08A12-0D5B-497D-8C41-28964F20C367}">
  <dimension ref="A3:B9"/>
  <sheetViews>
    <sheetView workbookViewId="0">
      <selection activeCell="A3" sqref="A3"/>
    </sheetView>
  </sheetViews>
  <sheetFormatPr defaultRowHeight="15" x14ac:dyDescent="0.25"/>
  <cols>
    <col min="1" max="1" width="14.42578125" bestFit="1" customWidth="1"/>
    <col min="2" max="2" width="14.7109375" bestFit="1" customWidth="1"/>
  </cols>
  <sheetData>
    <row r="3" spans="1:2" x14ac:dyDescent="0.25">
      <c r="A3" s="6" t="s">
        <v>0</v>
      </c>
      <c r="B3" t="s">
        <v>108</v>
      </c>
    </row>
    <row r="4" spans="1:2" x14ac:dyDescent="0.25">
      <c r="A4" t="s">
        <v>4</v>
      </c>
      <c r="B4" s="5">
        <v>388</v>
      </c>
    </row>
    <row r="5" spans="1:2" x14ac:dyDescent="0.25">
      <c r="A5" t="s">
        <v>5</v>
      </c>
      <c r="B5" s="5">
        <v>414</v>
      </c>
    </row>
    <row r="6" spans="1:2" x14ac:dyDescent="0.25">
      <c r="A6" t="s">
        <v>13</v>
      </c>
      <c r="B6" s="5">
        <v>266</v>
      </c>
    </row>
    <row r="7" spans="1:2" x14ac:dyDescent="0.25">
      <c r="A7" t="s">
        <v>14</v>
      </c>
      <c r="B7" s="5">
        <v>181</v>
      </c>
    </row>
    <row r="8" spans="1:2" x14ac:dyDescent="0.25">
      <c r="A8" t="s">
        <v>18</v>
      </c>
      <c r="B8" s="5">
        <v>680</v>
      </c>
    </row>
    <row r="9" spans="1:2" x14ac:dyDescent="0.25">
      <c r="A9" t="s">
        <v>21</v>
      </c>
      <c r="B9" s="5">
        <v>291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DCA3F-B2A4-457A-92D2-298B2DA5B0EE}">
  <dimension ref="A1:J41"/>
  <sheetViews>
    <sheetView workbookViewId="0">
      <selection activeCell="I2" sqref="I2"/>
    </sheetView>
  </sheetViews>
  <sheetFormatPr defaultRowHeight="15" x14ac:dyDescent="0.25"/>
  <cols>
    <col min="1" max="1" width="10.42578125" bestFit="1" customWidth="1"/>
    <col min="2" max="2" width="14.42578125" bestFit="1" customWidth="1"/>
    <col min="3" max="3" width="10.42578125" style="1" bestFit="1" customWidth="1"/>
    <col min="4" max="4" width="13.42578125" bestFit="1" customWidth="1"/>
    <col min="5" max="5" width="11.5703125" style="3" bestFit="1" customWidth="1"/>
    <col min="6" max="6" width="19.140625" bestFit="1" customWidth="1"/>
    <col min="7" max="7" width="17.85546875" bestFit="1" customWidth="1"/>
    <col min="9" max="9" width="13.42578125" bestFit="1" customWidth="1"/>
    <col min="10" max="10" width="14.7109375" bestFit="1" customWidth="1"/>
  </cols>
  <sheetData>
    <row r="1" spans="1:10" x14ac:dyDescent="0.25">
      <c r="A1" t="s">
        <v>51</v>
      </c>
      <c r="B1" t="s">
        <v>0</v>
      </c>
      <c r="C1" s="1" t="s">
        <v>52</v>
      </c>
      <c r="D1" t="s">
        <v>53</v>
      </c>
      <c r="E1" s="3" t="s">
        <v>54</v>
      </c>
      <c r="F1" t="s">
        <v>55</v>
      </c>
      <c r="G1" t="s">
        <v>110</v>
      </c>
      <c r="H1" t="s">
        <v>1</v>
      </c>
    </row>
    <row r="2" spans="1:10" x14ac:dyDescent="0.25">
      <c r="A2" s="2" t="s">
        <v>56</v>
      </c>
      <c r="B2" s="2" t="s">
        <v>5</v>
      </c>
      <c r="C2" s="1">
        <v>45601</v>
      </c>
      <c r="D2" s="2" t="s">
        <v>57</v>
      </c>
      <c r="E2" s="3">
        <v>171</v>
      </c>
      <c r="F2" s="2" t="s">
        <v>58</v>
      </c>
      <c r="G2" s="2" t="str">
        <f>VLOOKUP(transactions[[#This Row],[customer_id]], customers[[customer_id]:[full_name]], 2, FALSE)</f>
        <v>Kojo Darko</v>
      </c>
      <c r="H2" s="2" t="e">
        <f>VLOOKUP(transactions[[#This Row],[customer_id]], #REF!, 2, FALSE)</f>
        <v>#REF!</v>
      </c>
      <c r="I2" s="6" t="s">
        <v>107</v>
      </c>
      <c r="J2" t="s">
        <v>108</v>
      </c>
    </row>
    <row r="3" spans="1:10" x14ac:dyDescent="0.25">
      <c r="A3" s="2" t="s">
        <v>59</v>
      </c>
      <c r="B3" s="2" t="s">
        <v>11</v>
      </c>
      <c r="C3" s="1">
        <v>45833</v>
      </c>
      <c r="D3" s="2" t="s">
        <v>60</v>
      </c>
      <c r="E3" s="3">
        <v>243</v>
      </c>
      <c r="F3" s="2" t="s">
        <v>61</v>
      </c>
      <c r="G3" s="2" t="str">
        <f>VLOOKUP(transactions[[#This Row],[customer_id]], customers[[customer_id]:[full_name]], 2, FALSE)</f>
        <v>Afia Mensah</v>
      </c>
      <c r="H3" s="2" t="e">
        <f>VLOOKUP(transactions[[#This Row],[customer_id]], #REF!, 2, FALSE)</f>
        <v>#REF!</v>
      </c>
      <c r="I3" s="7" t="s">
        <v>4</v>
      </c>
      <c r="J3" s="5">
        <v>943</v>
      </c>
    </row>
    <row r="4" spans="1:10" x14ac:dyDescent="0.25">
      <c r="A4" s="2" t="s">
        <v>62</v>
      </c>
      <c r="B4" s="2" t="s">
        <v>6</v>
      </c>
      <c r="C4" s="1">
        <v>45859</v>
      </c>
      <c r="D4" s="2" t="s">
        <v>63</v>
      </c>
      <c r="E4" s="3">
        <v>54</v>
      </c>
      <c r="F4" s="2" t="s">
        <v>58</v>
      </c>
      <c r="G4" s="2" t="str">
        <f>VLOOKUP(transactions[[#This Row],[customer_id]], customers[[customer_id]:[full_name]], 2, FALSE)</f>
        <v>Yaw Mensah</v>
      </c>
      <c r="H4" s="2" t="e">
        <f>VLOOKUP(transactions[[#This Row],[customer_id]], #REF!, 2, FALSE)</f>
        <v>#REF!</v>
      </c>
      <c r="I4" s="7" t="s">
        <v>5</v>
      </c>
      <c r="J4" s="5">
        <v>585</v>
      </c>
    </row>
    <row r="5" spans="1:10" x14ac:dyDescent="0.25">
      <c r="A5" s="2" t="s">
        <v>64</v>
      </c>
      <c r="B5" s="2" t="s">
        <v>10</v>
      </c>
      <c r="C5" s="1">
        <v>45398</v>
      </c>
      <c r="D5" s="2" t="s">
        <v>65</v>
      </c>
      <c r="E5" s="3">
        <v>78</v>
      </c>
      <c r="F5" s="2" t="s">
        <v>61</v>
      </c>
      <c r="G5" s="2" t="str">
        <f>VLOOKUP(transactions[[#This Row],[customer_id]], customers[[customer_id]:[full_name]], 2, FALSE)</f>
        <v>Esi Mensah</v>
      </c>
      <c r="H5" s="2" t="e">
        <f>VLOOKUP(transactions[[#This Row],[customer_id]], #REF!, 2, FALSE)</f>
        <v>#REF!</v>
      </c>
      <c r="I5" s="7" t="s">
        <v>6</v>
      </c>
      <c r="J5" s="5">
        <v>430</v>
      </c>
    </row>
    <row r="6" spans="1:10" x14ac:dyDescent="0.25">
      <c r="A6" s="2" t="s">
        <v>66</v>
      </c>
      <c r="B6" s="2" t="s">
        <v>4</v>
      </c>
      <c r="C6" s="1">
        <v>45562</v>
      </c>
      <c r="D6" s="2" t="s">
        <v>60</v>
      </c>
      <c r="E6" s="3">
        <v>214</v>
      </c>
      <c r="F6" s="2" t="s">
        <v>58</v>
      </c>
      <c r="G6" s="2" t="str">
        <f>VLOOKUP(transactions[[#This Row],[customer_id]], customers[[customer_id]:[full_name]], 2, FALSE)</f>
        <v>Afia Darko</v>
      </c>
      <c r="H6" s="2" t="e">
        <f>VLOOKUP(transactions[[#This Row],[customer_id]], #REF!, 2, FALSE)</f>
        <v>#REF!</v>
      </c>
      <c r="I6" s="7" t="s">
        <v>10</v>
      </c>
      <c r="J6" s="5">
        <v>294</v>
      </c>
    </row>
    <row r="7" spans="1:10" x14ac:dyDescent="0.25">
      <c r="A7" s="2" t="s">
        <v>67</v>
      </c>
      <c r="B7" s="2" t="s">
        <v>18</v>
      </c>
      <c r="C7" s="1">
        <v>45401</v>
      </c>
      <c r="D7" s="2" t="s">
        <v>65</v>
      </c>
      <c r="E7" s="3">
        <v>471</v>
      </c>
      <c r="F7" s="4" t="s">
        <v>68</v>
      </c>
      <c r="G7" s="2" t="str">
        <f>VLOOKUP(transactions[[#This Row],[customer_id]], customers[[customer_id]:[full_name]], 2, FALSE)</f>
        <v>Yaw Asare</v>
      </c>
      <c r="H7" s="2" t="e">
        <f>VLOOKUP(transactions[[#This Row],[customer_id]], #REF!, 2, FALSE)</f>
        <v>#REF!</v>
      </c>
      <c r="I7" s="7" t="s">
        <v>14</v>
      </c>
      <c r="J7" s="5">
        <v>181</v>
      </c>
    </row>
    <row r="8" spans="1:10" x14ac:dyDescent="0.25">
      <c r="A8" s="2" t="s">
        <v>69</v>
      </c>
      <c r="B8" s="2" t="s">
        <v>4</v>
      </c>
      <c r="C8" s="1">
        <v>45858</v>
      </c>
      <c r="D8" s="2" t="s">
        <v>70</v>
      </c>
      <c r="E8" s="3">
        <v>388</v>
      </c>
      <c r="F8" s="2" t="s">
        <v>58</v>
      </c>
      <c r="G8" s="2" t="str">
        <f>VLOOKUP(transactions[[#This Row],[customer_id]], customers[[customer_id]:[full_name]], 2, FALSE)</f>
        <v>Afia Darko</v>
      </c>
      <c r="H8" s="2" t="e">
        <f>VLOOKUP(transactions[[#This Row],[customer_id]], #REF!, 2, FALSE)</f>
        <v>#REF!</v>
      </c>
      <c r="I8" s="7" t="s">
        <v>16</v>
      </c>
      <c r="J8" s="5">
        <v>175</v>
      </c>
    </row>
    <row r="9" spans="1:10" x14ac:dyDescent="0.25">
      <c r="A9" s="2" t="s">
        <v>71</v>
      </c>
      <c r="B9" s="2" t="s">
        <v>17</v>
      </c>
      <c r="C9" s="1">
        <v>45570</v>
      </c>
      <c r="D9" s="2" t="s">
        <v>57</v>
      </c>
      <c r="E9" s="3">
        <v>185</v>
      </c>
      <c r="F9" s="2" t="s">
        <v>61</v>
      </c>
      <c r="G9" s="2" t="str">
        <f>VLOOKUP(transactions[[#This Row],[customer_id]], customers[[customer_id]:[full_name]], 2, FALSE)</f>
        <v>Yaw Boateng</v>
      </c>
      <c r="H9" s="2" t="e">
        <f>VLOOKUP(transactions[[#This Row],[customer_id]], #REF!, 2, FALSE)</f>
        <v>#REF!</v>
      </c>
      <c r="I9" s="7" t="s">
        <v>17</v>
      </c>
      <c r="J9" s="5">
        <v>494</v>
      </c>
    </row>
    <row r="10" spans="1:10" x14ac:dyDescent="0.25">
      <c r="A10" s="2" t="s">
        <v>72</v>
      </c>
      <c r="B10" s="2" t="s">
        <v>5</v>
      </c>
      <c r="C10" s="1">
        <v>45507</v>
      </c>
      <c r="D10" s="2" t="s">
        <v>70</v>
      </c>
      <c r="E10" s="3">
        <v>414</v>
      </c>
      <c r="F10" s="2" t="s">
        <v>58</v>
      </c>
      <c r="G10" s="2" t="str">
        <f>VLOOKUP(transactions[[#This Row],[customer_id]], customers[[customer_id]:[full_name]], 2, FALSE)</f>
        <v>Kojo Darko</v>
      </c>
      <c r="H10" s="2" t="e">
        <f>VLOOKUP(transactions[[#This Row],[customer_id]], #REF!, 2, FALSE)</f>
        <v>#REF!</v>
      </c>
      <c r="I10" s="7" t="s">
        <v>18</v>
      </c>
      <c r="J10" s="5">
        <v>855</v>
      </c>
    </row>
    <row r="11" spans="1:10" x14ac:dyDescent="0.25">
      <c r="A11" s="2" t="s">
        <v>73</v>
      </c>
      <c r="B11" s="2" t="s">
        <v>19</v>
      </c>
      <c r="C11" s="1">
        <v>45643</v>
      </c>
      <c r="D11" s="2" t="s">
        <v>65</v>
      </c>
      <c r="E11" s="3">
        <v>370</v>
      </c>
      <c r="F11" s="2" t="s">
        <v>58</v>
      </c>
      <c r="G11" s="2" t="str">
        <f>VLOOKUP(transactions[[#This Row],[customer_id]], customers[[customer_id]:[full_name]], 2, FALSE)</f>
        <v>Adjoa Mensah</v>
      </c>
      <c r="H11" s="2" t="e">
        <f>VLOOKUP(transactions[[#This Row],[customer_id]], #REF!, 2, FALSE)</f>
        <v>#REF!</v>
      </c>
      <c r="I11" s="7" t="s">
        <v>19</v>
      </c>
      <c r="J11" s="5">
        <v>370</v>
      </c>
    </row>
    <row r="12" spans="1:10" x14ac:dyDescent="0.25">
      <c r="A12" s="2" t="s">
        <v>74</v>
      </c>
      <c r="B12" s="2" t="s">
        <v>18</v>
      </c>
      <c r="C12" s="1">
        <v>45562</v>
      </c>
      <c r="D12" s="2" t="s">
        <v>65</v>
      </c>
      <c r="E12" s="3">
        <v>391</v>
      </c>
      <c r="F12" s="2" t="s">
        <v>58</v>
      </c>
      <c r="G12" s="2" t="str">
        <f>VLOOKUP(transactions[[#This Row],[customer_id]], customers[[customer_id]:[full_name]], 2, FALSE)</f>
        <v>Yaw Asare</v>
      </c>
      <c r="H12" s="2" t="e">
        <f>VLOOKUP(transactions[[#This Row],[customer_id]], #REF!, 2, FALSE)</f>
        <v>#REF!</v>
      </c>
      <c r="I12" s="7" t="s">
        <v>20</v>
      </c>
      <c r="J12" s="5">
        <v>500</v>
      </c>
    </row>
    <row r="13" spans="1:10" x14ac:dyDescent="0.25">
      <c r="A13" s="2" t="s">
        <v>75</v>
      </c>
      <c r="B13" s="2" t="s">
        <v>8</v>
      </c>
      <c r="C13" s="1">
        <v>45792</v>
      </c>
      <c r="D13" s="2" t="s">
        <v>76</v>
      </c>
      <c r="E13" s="3">
        <v>194</v>
      </c>
      <c r="F13" s="2" t="s">
        <v>68</v>
      </c>
      <c r="G13" s="2" t="str">
        <f>VLOOKUP(transactions[[#This Row],[customer_id]], customers[[customer_id]:[full_name]], 2, FALSE)</f>
        <v>Adjoa Mensah</v>
      </c>
      <c r="H13" s="2" t="e">
        <f>VLOOKUP(transactions[[#This Row],[customer_id]], #REF!, 2, FALSE)</f>
        <v>#REF!</v>
      </c>
      <c r="I13" s="7" t="s">
        <v>106</v>
      </c>
      <c r="J13" s="5">
        <v>4827</v>
      </c>
    </row>
    <row r="14" spans="1:10" x14ac:dyDescent="0.25">
      <c r="A14" s="2" t="s">
        <v>77</v>
      </c>
      <c r="B14" s="2" t="s">
        <v>6</v>
      </c>
      <c r="C14" s="1">
        <v>45344</v>
      </c>
      <c r="D14" s="2" t="s">
        <v>76</v>
      </c>
      <c r="E14" s="3">
        <v>376</v>
      </c>
      <c r="F14" s="2" t="s">
        <v>58</v>
      </c>
      <c r="G14" s="2" t="str">
        <f>VLOOKUP(transactions[[#This Row],[customer_id]], customers[[customer_id]:[full_name]], 2, FALSE)</f>
        <v>Yaw Mensah</v>
      </c>
      <c r="H14" s="2" t="e">
        <f>VLOOKUP(transactions[[#This Row],[customer_id]], #REF!, 2, FALSE)</f>
        <v>#REF!</v>
      </c>
    </row>
    <row r="15" spans="1:10" x14ac:dyDescent="0.25">
      <c r="A15" s="2" t="s">
        <v>78</v>
      </c>
      <c r="B15" s="2" t="s">
        <v>13</v>
      </c>
      <c r="C15" s="1">
        <v>45725</v>
      </c>
      <c r="D15" s="2" t="s">
        <v>70</v>
      </c>
      <c r="E15" s="3">
        <v>266</v>
      </c>
      <c r="F15" s="2" t="s">
        <v>68</v>
      </c>
      <c r="G15" s="2" t="str">
        <f>VLOOKUP(transactions[[#This Row],[customer_id]], customers[[customer_id]:[full_name]], 2, FALSE)</f>
        <v>Afia Darko</v>
      </c>
      <c r="H15" s="2" t="e">
        <f>VLOOKUP(transactions[[#This Row],[customer_id]], #REF!, 2, FALSE)</f>
        <v>#REF!</v>
      </c>
    </row>
    <row r="16" spans="1:10" x14ac:dyDescent="0.25">
      <c r="A16" s="2" t="s">
        <v>79</v>
      </c>
      <c r="B16" s="2" t="s">
        <v>18</v>
      </c>
      <c r="C16" s="1">
        <v>45337</v>
      </c>
      <c r="D16" s="2" t="s">
        <v>80</v>
      </c>
      <c r="E16" s="3">
        <v>350</v>
      </c>
      <c r="F16" s="2" t="s">
        <v>68</v>
      </c>
      <c r="G16" s="2" t="str">
        <f>VLOOKUP(transactions[[#This Row],[customer_id]], customers[[customer_id]:[full_name]], 2, FALSE)</f>
        <v>Yaw Asare</v>
      </c>
      <c r="H16" s="2" t="e">
        <f>VLOOKUP(transactions[[#This Row],[customer_id]], #REF!, 2, FALSE)</f>
        <v>#REF!</v>
      </c>
    </row>
    <row r="17" spans="1:8" x14ac:dyDescent="0.25">
      <c r="A17" s="2" t="s">
        <v>81</v>
      </c>
      <c r="B17" s="2" t="s">
        <v>14</v>
      </c>
      <c r="C17" s="1">
        <v>45633</v>
      </c>
      <c r="D17" s="2" t="s">
        <v>70</v>
      </c>
      <c r="E17" s="3">
        <v>181</v>
      </c>
      <c r="F17" s="2" t="s">
        <v>58</v>
      </c>
      <c r="G17" s="2" t="str">
        <f>VLOOKUP(transactions[[#This Row],[customer_id]], customers[[customer_id]:[full_name]], 2, FALSE)</f>
        <v>Kojo Asare</v>
      </c>
      <c r="H17" s="2" t="e">
        <f>VLOOKUP(transactions[[#This Row],[customer_id]], #REF!, 2, FALSE)</f>
        <v>#REF!</v>
      </c>
    </row>
    <row r="18" spans="1:8" x14ac:dyDescent="0.25">
      <c r="A18" s="2" t="s">
        <v>82</v>
      </c>
      <c r="B18" s="2" t="s">
        <v>4</v>
      </c>
      <c r="C18" s="1">
        <v>45560</v>
      </c>
      <c r="D18" s="2" t="s">
        <v>76</v>
      </c>
      <c r="E18" s="3">
        <v>341</v>
      </c>
      <c r="F18" s="2" t="s">
        <v>58</v>
      </c>
      <c r="G18" s="2" t="str">
        <f>VLOOKUP(transactions[[#This Row],[customer_id]], customers[[customer_id]:[full_name]], 2, FALSE)</f>
        <v>Afia Darko</v>
      </c>
      <c r="H18" s="2" t="e">
        <f>VLOOKUP(transactions[[#This Row],[customer_id]], #REF!, 2, FALSE)</f>
        <v>#REF!</v>
      </c>
    </row>
    <row r="19" spans="1:8" x14ac:dyDescent="0.25">
      <c r="A19" s="2" t="s">
        <v>83</v>
      </c>
      <c r="B19" s="2" t="s">
        <v>10</v>
      </c>
      <c r="C19" s="1">
        <v>45744</v>
      </c>
      <c r="D19" s="2" t="s">
        <v>65</v>
      </c>
      <c r="E19" s="3">
        <v>119</v>
      </c>
      <c r="F19" s="2" t="s">
        <v>58</v>
      </c>
      <c r="G19" s="2" t="str">
        <f>VLOOKUP(transactions[[#This Row],[customer_id]], customers[[customer_id]:[full_name]], 2, FALSE)</f>
        <v>Esi Mensah</v>
      </c>
      <c r="H19" s="2" t="e">
        <f>VLOOKUP(transactions[[#This Row],[customer_id]], #REF!, 2, FALSE)</f>
        <v>#REF!</v>
      </c>
    </row>
    <row r="20" spans="1:8" x14ac:dyDescent="0.25">
      <c r="A20" s="2" t="s">
        <v>84</v>
      </c>
      <c r="B20" s="2" t="s">
        <v>18</v>
      </c>
      <c r="C20" s="1">
        <v>45729</v>
      </c>
      <c r="D20" s="2" t="s">
        <v>63</v>
      </c>
      <c r="E20" s="3">
        <v>301</v>
      </c>
      <c r="F20" s="2" t="s">
        <v>61</v>
      </c>
      <c r="G20" s="2" t="str">
        <f>VLOOKUP(transactions[[#This Row],[customer_id]], customers[[customer_id]:[full_name]], 2, FALSE)</f>
        <v>Yaw Asare</v>
      </c>
      <c r="H20" s="2" t="e">
        <f>VLOOKUP(transactions[[#This Row],[customer_id]], #REF!, 2, FALSE)</f>
        <v>#REF!</v>
      </c>
    </row>
    <row r="21" spans="1:8" x14ac:dyDescent="0.25">
      <c r="A21" s="2" t="s">
        <v>85</v>
      </c>
      <c r="B21" s="2" t="s">
        <v>18</v>
      </c>
      <c r="C21" s="1">
        <v>45301</v>
      </c>
      <c r="D21" s="2" t="s">
        <v>70</v>
      </c>
      <c r="E21" s="3">
        <v>464</v>
      </c>
      <c r="F21" s="2" t="s">
        <v>58</v>
      </c>
      <c r="G21" s="2" t="str">
        <f>VLOOKUP(transactions[[#This Row],[customer_id]], customers[[customer_id]:[full_name]], 2, FALSE)</f>
        <v>Yaw Asare</v>
      </c>
      <c r="H21" s="2" t="e">
        <f>VLOOKUP(transactions[[#This Row],[customer_id]], #REF!, 2, FALSE)</f>
        <v>#REF!</v>
      </c>
    </row>
    <row r="22" spans="1:8" x14ac:dyDescent="0.25">
      <c r="A22" s="2" t="s">
        <v>86</v>
      </c>
      <c r="B22" s="2" t="s">
        <v>21</v>
      </c>
      <c r="C22" s="1">
        <v>45369</v>
      </c>
      <c r="D22" s="2" t="s">
        <v>65</v>
      </c>
      <c r="E22" s="3">
        <v>324</v>
      </c>
      <c r="F22" s="2" t="s">
        <v>68</v>
      </c>
      <c r="G22" s="2" t="str">
        <f>VLOOKUP(transactions[[#This Row],[customer_id]], customers[[customer_id]:[full_name]], 2, FALSE)</f>
        <v>Afia Darko</v>
      </c>
      <c r="H22" s="2" t="e">
        <f>VLOOKUP(transactions[[#This Row],[customer_id]], #REF!, 2, FALSE)</f>
        <v>#REF!</v>
      </c>
    </row>
    <row r="23" spans="1:8" x14ac:dyDescent="0.25">
      <c r="A23" s="2" t="s">
        <v>87</v>
      </c>
      <c r="B23" s="2" t="s">
        <v>17</v>
      </c>
      <c r="C23" s="1">
        <v>45444</v>
      </c>
      <c r="D23" s="2" t="s">
        <v>63</v>
      </c>
      <c r="E23" s="3">
        <v>494</v>
      </c>
      <c r="F23" s="2" t="s">
        <v>58</v>
      </c>
      <c r="G23" s="2" t="str">
        <f>VLOOKUP(transactions[[#This Row],[customer_id]], customers[[customer_id]:[full_name]], 2, FALSE)</f>
        <v>Yaw Boateng</v>
      </c>
      <c r="H23" s="2" t="e">
        <f>VLOOKUP(transactions[[#This Row],[customer_id]], #REF!, 2, FALSE)</f>
        <v>#REF!</v>
      </c>
    </row>
    <row r="24" spans="1:8" x14ac:dyDescent="0.25">
      <c r="A24" s="2" t="s">
        <v>88</v>
      </c>
      <c r="B24" s="2" t="s">
        <v>14</v>
      </c>
      <c r="C24" s="1">
        <v>45328</v>
      </c>
      <c r="D24" s="2" t="s">
        <v>63</v>
      </c>
      <c r="E24" s="3">
        <v>413</v>
      </c>
      <c r="F24" s="2" t="s">
        <v>61</v>
      </c>
      <c r="G24" s="2" t="str">
        <f>VLOOKUP(transactions[[#This Row],[customer_id]], customers[[customer_id]:[full_name]], 2, FALSE)</f>
        <v>Kojo Asare</v>
      </c>
      <c r="H24" s="2" t="e">
        <f>VLOOKUP(transactions[[#This Row],[customer_id]], #REF!, 2, FALSE)</f>
        <v>#REF!</v>
      </c>
    </row>
    <row r="25" spans="1:8" x14ac:dyDescent="0.25">
      <c r="A25" s="2" t="s">
        <v>89</v>
      </c>
      <c r="B25" s="2" t="s">
        <v>20</v>
      </c>
      <c r="C25" s="1">
        <v>45857</v>
      </c>
      <c r="D25" s="2" t="s">
        <v>76</v>
      </c>
      <c r="E25" s="3">
        <v>231</v>
      </c>
      <c r="F25" s="2" t="s">
        <v>58</v>
      </c>
      <c r="G25" s="2" t="str">
        <f>VLOOKUP(transactions[[#This Row],[customer_id]], customers[[customer_id]:[full_name]], 2, FALSE)</f>
        <v>Yaw Boateng</v>
      </c>
      <c r="H25" s="2" t="e">
        <f>VLOOKUP(transactions[[#This Row],[customer_id]], #REF!, 2, FALSE)</f>
        <v>#REF!</v>
      </c>
    </row>
    <row r="26" spans="1:8" x14ac:dyDescent="0.25">
      <c r="A26" s="2" t="s">
        <v>90</v>
      </c>
      <c r="B26" s="2" t="s">
        <v>18</v>
      </c>
      <c r="C26" s="1">
        <v>45732</v>
      </c>
      <c r="D26" s="2" t="s">
        <v>70</v>
      </c>
      <c r="E26" s="3">
        <v>216</v>
      </c>
      <c r="F26" s="2" t="s">
        <v>61</v>
      </c>
      <c r="G26" s="2" t="str">
        <f>VLOOKUP(transactions[[#This Row],[customer_id]], customers[[customer_id]:[full_name]], 2, FALSE)</f>
        <v>Yaw Asare</v>
      </c>
      <c r="H26" s="2" t="e">
        <f>VLOOKUP(transactions[[#This Row],[customer_id]], #REF!, 2, FALSE)</f>
        <v>#REF!</v>
      </c>
    </row>
    <row r="27" spans="1:8" x14ac:dyDescent="0.25">
      <c r="A27" s="2" t="s">
        <v>91</v>
      </c>
      <c r="B27" s="2" t="s">
        <v>5</v>
      </c>
      <c r="C27" s="1">
        <v>45334</v>
      </c>
      <c r="D27" s="2" t="s">
        <v>60</v>
      </c>
      <c r="E27" s="3">
        <v>140</v>
      </c>
      <c r="F27" s="2" t="s">
        <v>61</v>
      </c>
      <c r="G27" s="2" t="str">
        <f>VLOOKUP(transactions[[#This Row],[customer_id]], customers[[customer_id]:[full_name]], 2, FALSE)</f>
        <v>Kojo Darko</v>
      </c>
      <c r="H27" s="2" t="e">
        <f>VLOOKUP(transactions[[#This Row],[customer_id]], #REF!, 2, FALSE)</f>
        <v>#REF!</v>
      </c>
    </row>
    <row r="28" spans="1:8" x14ac:dyDescent="0.25">
      <c r="A28" s="2" t="s">
        <v>92</v>
      </c>
      <c r="B28" s="2" t="s">
        <v>13</v>
      </c>
      <c r="C28" s="1">
        <v>45665</v>
      </c>
      <c r="D28" s="2" t="s">
        <v>57</v>
      </c>
      <c r="E28" s="3">
        <v>251</v>
      </c>
      <c r="F28" s="2" t="s">
        <v>58</v>
      </c>
      <c r="G28" s="2" t="str">
        <f>VLOOKUP(transactions[[#This Row],[customer_id]], customers[[customer_id]:[full_name]], 2, FALSE)</f>
        <v>Afia Darko</v>
      </c>
      <c r="H28" s="2" t="e">
        <f>VLOOKUP(transactions[[#This Row],[customer_id]], #REF!, 2, FALSE)</f>
        <v>#REF!</v>
      </c>
    </row>
    <row r="29" spans="1:8" x14ac:dyDescent="0.25">
      <c r="A29" s="2" t="s">
        <v>93</v>
      </c>
      <c r="B29" s="2" t="s">
        <v>10</v>
      </c>
      <c r="C29" s="1">
        <v>45658</v>
      </c>
      <c r="D29" s="2" t="s">
        <v>76</v>
      </c>
      <c r="E29" s="3">
        <v>395</v>
      </c>
      <c r="F29" s="2" t="s">
        <v>68</v>
      </c>
      <c r="G29" s="2" t="str">
        <f>VLOOKUP(transactions[[#This Row],[customer_id]], customers[[customer_id]:[full_name]], 2, FALSE)</f>
        <v>Esi Mensah</v>
      </c>
      <c r="H29" s="2" t="e">
        <f>VLOOKUP(transactions[[#This Row],[customer_id]], #REF!, 2, FALSE)</f>
        <v>#REF!</v>
      </c>
    </row>
    <row r="30" spans="1:8" x14ac:dyDescent="0.25">
      <c r="A30" s="2" t="s">
        <v>94</v>
      </c>
      <c r="B30" s="2" t="s">
        <v>20</v>
      </c>
      <c r="C30" s="1">
        <v>45547</v>
      </c>
      <c r="D30" s="2" t="s">
        <v>76</v>
      </c>
      <c r="E30" s="3">
        <v>68</v>
      </c>
      <c r="F30" s="2" t="s">
        <v>61</v>
      </c>
      <c r="G30" s="2" t="str">
        <f>VLOOKUP(transactions[[#This Row],[customer_id]], customers[[customer_id]:[full_name]], 2, FALSE)</f>
        <v>Yaw Boateng</v>
      </c>
      <c r="H30" s="2" t="e">
        <f>VLOOKUP(transactions[[#This Row],[customer_id]], #REF!, 2, FALSE)</f>
        <v>#REF!</v>
      </c>
    </row>
    <row r="31" spans="1:8" x14ac:dyDescent="0.25">
      <c r="A31" s="2" t="s">
        <v>95</v>
      </c>
      <c r="B31" s="2" t="s">
        <v>13</v>
      </c>
      <c r="C31" s="1">
        <v>45397</v>
      </c>
      <c r="D31" s="2" t="s">
        <v>60</v>
      </c>
      <c r="E31" s="3">
        <v>88</v>
      </c>
      <c r="F31" s="2" t="s">
        <v>58</v>
      </c>
      <c r="G31" s="2" t="str">
        <f>VLOOKUP(transactions[[#This Row],[customer_id]], customers[[customer_id]:[full_name]], 2, FALSE)</f>
        <v>Afia Darko</v>
      </c>
      <c r="H31" s="2" t="e">
        <f>VLOOKUP(transactions[[#This Row],[customer_id]], #REF!, 2, FALSE)</f>
        <v>#REF!</v>
      </c>
    </row>
    <row r="32" spans="1:8" x14ac:dyDescent="0.25">
      <c r="A32" s="2" t="s">
        <v>96</v>
      </c>
      <c r="B32" s="2" t="s">
        <v>10</v>
      </c>
      <c r="C32" s="1">
        <v>45865</v>
      </c>
      <c r="D32" s="2" t="s">
        <v>57</v>
      </c>
      <c r="E32" s="3">
        <v>175</v>
      </c>
      <c r="F32" s="2" t="s">
        <v>58</v>
      </c>
      <c r="G32" s="2" t="str">
        <f>VLOOKUP(transactions[[#This Row],[customer_id]], customers[[customer_id]:[full_name]], 2, FALSE)</f>
        <v>Esi Mensah</v>
      </c>
      <c r="H32" s="2" t="e">
        <f>VLOOKUP(transactions[[#This Row],[customer_id]], #REF!, 2, FALSE)</f>
        <v>#REF!</v>
      </c>
    </row>
    <row r="33" spans="1:8" x14ac:dyDescent="0.25">
      <c r="A33" s="2" t="s">
        <v>97</v>
      </c>
      <c r="B33" s="2" t="s">
        <v>8</v>
      </c>
      <c r="C33" s="1">
        <v>45450</v>
      </c>
      <c r="D33" s="2" t="s">
        <v>65</v>
      </c>
      <c r="E33" s="3">
        <v>222</v>
      </c>
      <c r="F33" s="2" t="s">
        <v>68</v>
      </c>
      <c r="G33" s="2" t="str">
        <f>VLOOKUP(transactions[[#This Row],[customer_id]], customers[[customer_id]:[full_name]], 2, FALSE)</f>
        <v>Adjoa Mensah</v>
      </c>
      <c r="H33" s="2" t="e">
        <f>VLOOKUP(transactions[[#This Row],[customer_id]], #REF!, 2, FALSE)</f>
        <v>#REF!</v>
      </c>
    </row>
    <row r="34" spans="1:8" x14ac:dyDescent="0.25">
      <c r="A34" s="2" t="s">
        <v>98</v>
      </c>
      <c r="B34" s="2" t="s">
        <v>15</v>
      </c>
      <c r="C34" s="1">
        <v>45458</v>
      </c>
      <c r="D34" s="2" t="s">
        <v>80</v>
      </c>
      <c r="E34" s="3">
        <v>190</v>
      </c>
      <c r="F34" s="2" t="s">
        <v>61</v>
      </c>
      <c r="G34" s="2" t="str">
        <f>VLOOKUP(transactions[[#This Row],[customer_id]], customers[[customer_id]:[full_name]], 2, FALSE)</f>
        <v>Kofi Darko</v>
      </c>
      <c r="H34" s="2" t="e">
        <f>VLOOKUP(transactions[[#This Row],[customer_id]], #REF!, 2, FALSE)</f>
        <v>#REF!</v>
      </c>
    </row>
    <row r="35" spans="1:8" x14ac:dyDescent="0.25">
      <c r="A35" s="2" t="s">
        <v>99</v>
      </c>
      <c r="B35" s="2" t="s">
        <v>21</v>
      </c>
      <c r="C35" s="1">
        <v>45714</v>
      </c>
      <c r="D35" s="2" t="s">
        <v>70</v>
      </c>
      <c r="E35" s="3">
        <v>291</v>
      </c>
      <c r="F35" s="2" t="s">
        <v>61</v>
      </c>
      <c r="G35" s="2" t="str">
        <f>VLOOKUP(transactions[[#This Row],[customer_id]], customers[[customer_id]:[full_name]], 2, FALSE)</f>
        <v>Afia Darko</v>
      </c>
      <c r="H35" s="2" t="e">
        <f>VLOOKUP(transactions[[#This Row],[customer_id]], #REF!, 2, FALSE)</f>
        <v>#REF!</v>
      </c>
    </row>
    <row r="36" spans="1:8" x14ac:dyDescent="0.25">
      <c r="A36" s="2" t="s">
        <v>100</v>
      </c>
      <c r="B36" s="2" t="s">
        <v>20</v>
      </c>
      <c r="C36" s="1">
        <v>45475</v>
      </c>
      <c r="D36" s="2" t="s">
        <v>80</v>
      </c>
      <c r="E36" s="3">
        <v>269</v>
      </c>
      <c r="F36" s="2" t="s">
        <v>58</v>
      </c>
      <c r="G36" s="2" t="str">
        <f>VLOOKUP(transactions[[#This Row],[customer_id]], customers[[customer_id]:[full_name]], 2, FALSE)</f>
        <v>Yaw Boateng</v>
      </c>
      <c r="H36" s="2" t="e">
        <f>VLOOKUP(transactions[[#This Row],[customer_id]], #REF!, 2, FALSE)</f>
        <v>#REF!</v>
      </c>
    </row>
    <row r="37" spans="1:8" x14ac:dyDescent="0.25">
      <c r="A37" s="2" t="s">
        <v>101</v>
      </c>
      <c r="B37" s="2" t="s">
        <v>16</v>
      </c>
      <c r="C37" s="1">
        <v>45632</v>
      </c>
      <c r="D37" s="2" t="s">
        <v>65</v>
      </c>
      <c r="E37" s="3">
        <v>175</v>
      </c>
      <c r="F37" s="2" t="s">
        <v>58</v>
      </c>
      <c r="G37" s="2" t="str">
        <f>VLOOKUP(transactions[[#This Row],[customer_id]], customers[[customer_id]:[full_name]], 2, FALSE)</f>
        <v>Adjoa Darko</v>
      </c>
      <c r="H37" s="2" t="e">
        <f>VLOOKUP(transactions[[#This Row],[customer_id]], #REF!, 2, FALSE)</f>
        <v>#REF!</v>
      </c>
    </row>
    <row r="38" spans="1:8" x14ac:dyDescent="0.25">
      <c r="A38" s="2" t="s">
        <v>102</v>
      </c>
      <c r="B38" s="2" t="s">
        <v>17</v>
      </c>
      <c r="C38" s="1">
        <v>45546</v>
      </c>
      <c r="D38" s="2" t="s">
        <v>76</v>
      </c>
      <c r="E38" s="3">
        <v>107</v>
      </c>
      <c r="F38" s="2" t="s">
        <v>68</v>
      </c>
      <c r="G38" s="2" t="str">
        <f>VLOOKUP(transactions[[#This Row],[customer_id]], customers[[customer_id]:[full_name]], 2, FALSE)</f>
        <v>Yaw Boateng</v>
      </c>
      <c r="H38" s="2" t="e">
        <f>VLOOKUP(transactions[[#This Row],[customer_id]], #REF!, 2, FALSE)</f>
        <v>#REF!</v>
      </c>
    </row>
    <row r="39" spans="1:8" x14ac:dyDescent="0.25">
      <c r="A39" s="2" t="s">
        <v>103</v>
      </c>
      <c r="B39" s="2" t="s">
        <v>6</v>
      </c>
      <c r="C39" s="1">
        <v>45455</v>
      </c>
      <c r="D39" s="2" t="s">
        <v>57</v>
      </c>
      <c r="E39" s="3">
        <v>197</v>
      </c>
      <c r="F39" s="2" t="s">
        <v>68</v>
      </c>
      <c r="G39" s="2" t="str">
        <f>VLOOKUP(transactions[[#This Row],[customer_id]], customers[[customer_id]:[full_name]], 2, FALSE)</f>
        <v>Yaw Mensah</v>
      </c>
      <c r="H39" s="2" t="e">
        <f>VLOOKUP(transactions[[#This Row],[customer_id]], #REF!, 2, FALSE)</f>
        <v>#REF!</v>
      </c>
    </row>
    <row r="40" spans="1:8" x14ac:dyDescent="0.25">
      <c r="A40" s="2" t="s">
        <v>104</v>
      </c>
      <c r="B40" s="2" t="s">
        <v>4</v>
      </c>
      <c r="C40" s="1">
        <v>45402</v>
      </c>
      <c r="D40" s="2" t="s">
        <v>76</v>
      </c>
      <c r="E40" s="3">
        <v>366</v>
      </c>
      <c r="F40" s="2" t="s">
        <v>61</v>
      </c>
      <c r="G40" s="2" t="str">
        <f>VLOOKUP(transactions[[#This Row],[customer_id]], customers[[customer_id]:[full_name]], 2, FALSE)</f>
        <v>Afia Darko</v>
      </c>
      <c r="H40" s="2" t="e">
        <f>VLOOKUP(transactions[[#This Row],[customer_id]], #REF!, 2, FALSE)</f>
        <v>#REF!</v>
      </c>
    </row>
    <row r="41" spans="1:8" x14ac:dyDescent="0.25">
      <c r="A41" s="2" t="s">
        <v>105</v>
      </c>
      <c r="B41" s="2" t="s">
        <v>13</v>
      </c>
      <c r="C41" s="1">
        <v>45331</v>
      </c>
      <c r="D41" s="2" t="s">
        <v>63</v>
      </c>
      <c r="E41" s="3">
        <v>432</v>
      </c>
      <c r="F41" s="2" t="s">
        <v>61</v>
      </c>
      <c r="G41" s="2" t="str">
        <f>VLOOKUP(transactions[[#This Row],[customer_id]], customers[[customer_id]:[full_name]], 2, FALSE)</f>
        <v>Afia Darko</v>
      </c>
      <c r="H41" s="2" t="e">
        <f>VLOOKUP(transactions[[#This Row],[customer_id]], #REF!, 2, FALSE)</f>
        <v>#REF!</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736A5-14EB-4458-A583-E7A998B76AAD}">
  <dimension ref="B2:H4"/>
  <sheetViews>
    <sheetView workbookViewId="0">
      <selection activeCell="E6" sqref="E6"/>
    </sheetView>
  </sheetViews>
  <sheetFormatPr defaultRowHeight="15" x14ac:dyDescent="0.25"/>
  <cols>
    <col min="2" max="2" width="27.5703125" customWidth="1"/>
    <col min="4" max="4" width="41.28515625" customWidth="1"/>
    <col min="6" max="6" width="36.140625" customWidth="1"/>
    <col min="8" max="8" width="38.42578125" customWidth="1"/>
  </cols>
  <sheetData>
    <row r="2" spans="2:8" ht="21" x14ac:dyDescent="0.35">
      <c r="B2" s="8" t="s">
        <v>111</v>
      </c>
      <c r="D2" s="8" t="s">
        <v>112</v>
      </c>
      <c r="F2" s="8" t="s">
        <v>113</v>
      </c>
      <c r="H2" s="8" t="s">
        <v>114</v>
      </c>
    </row>
    <row r="3" spans="2:8" ht="21" x14ac:dyDescent="0.35">
      <c r="B3" s="9">
        <f>SUM(transactions[amount])</f>
        <v>10615</v>
      </c>
      <c r="D3" s="8">
        <f>COUNTA(transactions[trans_id])</f>
        <v>40</v>
      </c>
      <c r="F3" s="8">
        <f>COUNTA(_xlfn.UNIQUE(customers[customer_id]))</f>
        <v>20</v>
      </c>
      <c r="H3" s="8">
        <f>AVERAGE(transactions[amount])</f>
        <v>265.375</v>
      </c>
    </row>
    <row r="4" spans="2:8" x14ac:dyDescent="0.25">
      <c r="B4"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6E2C4-B085-4CF1-B79F-9966672797DF}">
  <dimension ref="A1:D6"/>
  <sheetViews>
    <sheetView workbookViewId="0">
      <selection activeCell="A8" sqref="A8"/>
    </sheetView>
  </sheetViews>
  <sheetFormatPr defaultRowHeight="15" x14ac:dyDescent="0.25"/>
  <cols>
    <col min="1" max="1" width="22.42578125" customWidth="1"/>
    <col min="2" max="2" width="11.85546875" customWidth="1"/>
    <col min="3" max="3" width="73.42578125" customWidth="1"/>
    <col min="4" max="4" width="15.42578125" bestFit="1" customWidth="1"/>
  </cols>
  <sheetData>
    <row r="1" spans="1:4" ht="39.75" thickBot="1" x14ac:dyDescent="0.3">
      <c r="A1" s="10" t="s">
        <v>124</v>
      </c>
      <c r="B1" s="10"/>
      <c r="C1" s="10"/>
      <c r="D1" s="10"/>
    </row>
    <row r="2" spans="1:4" ht="33.75" customHeight="1" thickBot="1" x14ac:dyDescent="0.3">
      <c r="A2" s="10" t="s">
        <v>125</v>
      </c>
      <c r="B2" s="10"/>
      <c r="C2" s="10"/>
      <c r="D2" s="11"/>
    </row>
    <row r="3" spans="1:4" ht="15.75" thickBot="1" x14ac:dyDescent="0.3">
      <c r="A3" s="10" t="s">
        <v>115</v>
      </c>
      <c r="B3" s="10" t="s">
        <v>116</v>
      </c>
      <c r="C3" s="10" t="s">
        <v>117</v>
      </c>
    </row>
    <row r="4" spans="1:4" ht="15.75" thickBot="1" x14ac:dyDescent="0.3">
      <c r="A4" s="10" t="s">
        <v>118</v>
      </c>
      <c r="B4" s="10" t="s">
        <v>119</v>
      </c>
      <c r="C4" s="10" t="s">
        <v>122</v>
      </c>
    </row>
    <row r="5" spans="1:4" ht="27" thickBot="1" x14ac:dyDescent="0.3">
      <c r="A5" s="10" t="s">
        <v>120</v>
      </c>
      <c r="B5" s="10" t="s">
        <v>119</v>
      </c>
      <c r="C5" s="10" t="s">
        <v>123</v>
      </c>
    </row>
    <row r="6" spans="1:4" ht="27" thickBot="1" x14ac:dyDescent="0.3">
      <c r="A6" s="10" t="s">
        <v>121</v>
      </c>
      <c r="B6" s="10" t="s">
        <v>119</v>
      </c>
      <c r="C6" s="10" t="s">
        <v>122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5A5D14-3B15-4804-A6DB-A24A91C988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Sheet14</vt:lpstr>
      <vt:lpstr>transactions</vt:lpstr>
      <vt:lpstr>Dashboard</vt:lpstr>
      <vt:lpstr>Data Cleaning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PADDY ADAMS</dc:creator>
  <cp:lastModifiedBy>Adams Emmanuel Paddy</cp:lastModifiedBy>
  <dcterms:created xsi:type="dcterms:W3CDTF">2025-10-17T23:56:26Z</dcterms:created>
  <dcterms:modified xsi:type="dcterms:W3CDTF">2025-10-18T00:05:34Z</dcterms:modified>
</cp:coreProperties>
</file>