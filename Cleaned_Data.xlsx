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ePadd\OneDrive - University of Ghana\Documents\DATA SCIENCE\DATA BLOOM\ASSIGNMENT\New folder\Finance\"/>
    </mc:Choice>
  </mc:AlternateContent>
  <xr:revisionPtr revIDLastSave="0" documentId="8_{2D49ED7F-71A4-4A8A-9155-55E9261FA6C3}" xr6:coauthVersionLast="47" xr6:coauthVersionMax="47" xr10:uidLastSave="{00000000-0000-0000-0000-000000000000}"/>
  <bookViews>
    <workbookView xWindow="-120" yWindow="-120" windowWidth="20730" windowHeight="11760" activeTab="2" xr2:uid="{F229189D-8038-412E-986B-1D8C4E8549A5}"/>
  </bookViews>
  <sheets>
    <sheet name="accounts" sheetId="2" r:id="rId1"/>
    <sheet name="customers" sheetId="3" r:id="rId2"/>
    <sheet name="transactions" sheetId="4" r:id="rId3"/>
    <sheet name="Dashboard" sheetId="1" r:id="rId4"/>
    <sheet name="Data Cleaning" sheetId="5" r:id="rId5"/>
  </sheets>
  <definedNames>
    <definedName name="ExternalData_1" localSheetId="0" hidden="1">accounts!$A$1:$E$21</definedName>
    <definedName name="ExternalData_1" localSheetId="1" hidden="1">'customers'!$A$1:$E$21</definedName>
    <definedName name="ExternalData_1" localSheetId="2" hidden="1">transactions!$A$1:$F$41</definedName>
    <definedName name="Slicer_account_type">#N/A</definedName>
    <definedName name="Slicer_account_type1">#N/A</definedName>
    <definedName name="Slicer_category">#N/A</definedName>
    <definedName name="Slicer_payment_method">#N/A</definedName>
    <definedName name="Slicer_region">#N/A</definedName>
  </definedNames>
  <calcPr calcId="191029"/>
  <pivotCaches>
    <pivotCache cacheId="19" r:id="rId6"/>
    <pivotCache cacheId="13" r:id="rId7"/>
    <pivotCache cacheId="18"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I3" i="1"/>
  <c r="E3" i="1"/>
  <c r="B3" i="1"/>
  <c r="F2" i="2"/>
  <c r="F3" i="2"/>
  <c r="F4" i="2"/>
  <c r="F5" i="2"/>
  <c r="F6" i="2"/>
  <c r="F7" i="2"/>
  <c r="F8" i="2"/>
  <c r="F9" i="2"/>
  <c r="F10" i="2"/>
  <c r="F11" i="2"/>
  <c r="F12" i="2"/>
  <c r="F13" i="2"/>
  <c r="F14" i="2"/>
  <c r="F15" i="2"/>
  <c r="F16" i="2"/>
  <c r="F17" i="2"/>
  <c r="F18" i="2"/>
  <c r="F19" i="2"/>
  <c r="F20" i="2"/>
  <c r="F21" i="2"/>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F80669-1EE0-4EC9-B086-7E762A6A06D2}" keepAlive="1" name="Query - accounts" description="Connection to the 'accounts' query in the workbook." type="5" refreshedVersion="8" background="1" saveData="1">
    <dbPr connection="Provider=Microsoft.Mashup.OleDb.1;Data Source=$Workbook$;Location=accounts;Extended Properties=&quot;&quot;" command="SELECT * FROM [accounts]"/>
  </connection>
  <connection id="2" xr16:uid="{4FA989AD-7939-487B-BDB2-AD90929340F5}"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DE5653D5-EB8A-476A-93CF-22B9F215DE0E}" keepAlive="1" name="Query - transactions" description="Connection to the 'transactions' query in the workbook." type="5" refreshedVersion="8" background="1" saveData="1">
    <dbPr connection="Provider=Microsoft.Mashup.OleDb.1;Data Source=$Workbook$;Location=transactions;Extended Properties=&quot;&quot;" command="SELECT * FROM [transactions]"/>
  </connection>
</connections>
</file>

<file path=xl/sharedStrings.xml><?xml version="1.0" encoding="utf-8"?>
<sst xmlns="http://schemas.openxmlformats.org/spreadsheetml/2006/main" count="387" uniqueCount="152">
  <si>
    <t>account_id</t>
  </si>
  <si>
    <t>customer_id</t>
  </si>
  <si>
    <t>account_type</t>
  </si>
  <si>
    <t>balance</t>
  </si>
  <si>
    <t>last_update</t>
  </si>
  <si>
    <t>A001</t>
  </si>
  <si>
    <t>C001</t>
  </si>
  <si>
    <t>Savings</t>
  </si>
  <si>
    <t>A002</t>
  </si>
  <si>
    <t>C002</t>
  </si>
  <si>
    <t>A003</t>
  </si>
  <si>
    <t>C003</t>
  </si>
  <si>
    <t>Current</t>
  </si>
  <si>
    <t>A004</t>
  </si>
  <si>
    <t>C004</t>
  </si>
  <si>
    <t>A005</t>
  </si>
  <si>
    <t>C005</t>
  </si>
  <si>
    <t>A006</t>
  </si>
  <si>
    <t>C006</t>
  </si>
  <si>
    <t>A007</t>
  </si>
  <si>
    <t>C007</t>
  </si>
  <si>
    <t>A008</t>
  </si>
  <si>
    <t>C008</t>
  </si>
  <si>
    <t>A009</t>
  </si>
  <si>
    <t>C009</t>
  </si>
  <si>
    <t>A010</t>
  </si>
  <si>
    <t>C010</t>
  </si>
  <si>
    <t>A011</t>
  </si>
  <si>
    <t>C011</t>
  </si>
  <si>
    <t>A012</t>
  </si>
  <si>
    <t>C012</t>
  </si>
  <si>
    <t>A013</t>
  </si>
  <si>
    <t>C013</t>
  </si>
  <si>
    <t>A014</t>
  </si>
  <si>
    <t>C014</t>
  </si>
  <si>
    <t>A015</t>
  </si>
  <si>
    <t>C015</t>
  </si>
  <si>
    <t>A016</t>
  </si>
  <si>
    <t>C016</t>
  </si>
  <si>
    <t>A017</t>
  </si>
  <si>
    <t>C017</t>
  </si>
  <si>
    <t>A018</t>
  </si>
  <si>
    <t>C018</t>
  </si>
  <si>
    <t>A019</t>
  </si>
  <si>
    <t>C019</t>
  </si>
  <si>
    <t>A020</t>
  </si>
  <si>
    <t>C020</t>
  </si>
  <si>
    <t>full_name</t>
  </si>
  <si>
    <t>region</t>
  </si>
  <si>
    <t>age</t>
  </si>
  <si>
    <t>occupation</t>
  </si>
  <si>
    <t>Kojo Asare</t>
  </si>
  <si>
    <t>Volta</t>
  </si>
  <si>
    <t>Student</t>
  </si>
  <si>
    <t>Ashanti</t>
  </si>
  <si>
    <t>Trader</t>
  </si>
  <si>
    <t>Afia Darko</t>
  </si>
  <si>
    <t>Kojo Darko</t>
  </si>
  <si>
    <t>Bono</t>
  </si>
  <si>
    <t>Yaw Mensah</t>
  </si>
  <si>
    <t>Farmer</t>
  </si>
  <si>
    <t>Adjoa Mensah</t>
  </si>
  <si>
    <t>Northern</t>
  </si>
  <si>
    <t>Engineer</t>
  </si>
  <si>
    <t>Afia Boateng</t>
  </si>
  <si>
    <t>Banker</t>
  </si>
  <si>
    <t>Esi Mensah</t>
  </si>
  <si>
    <t>Greater Accra</t>
  </si>
  <si>
    <t>Teacher</t>
  </si>
  <si>
    <t>Afia Mensah</t>
  </si>
  <si>
    <t>Western</t>
  </si>
  <si>
    <t>Kofi Asare</t>
  </si>
  <si>
    <t>Kofi Darko</t>
  </si>
  <si>
    <t>Adjoa Darko</t>
  </si>
  <si>
    <t>Yaw Boateng</t>
  </si>
  <si>
    <t>Yaw Asare</t>
  </si>
  <si>
    <t>trans_id</t>
  </si>
  <si>
    <t>date</t>
  </si>
  <si>
    <t>category</t>
  </si>
  <si>
    <t>amount</t>
  </si>
  <si>
    <t>payment_method</t>
  </si>
  <si>
    <t>T001</t>
  </si>
  <si>
    <t>Groceries</t>
  </si>
  <si>
    <t>Card</t>
  </si>
  <si>
    <t>T002</t>
  </si>
  <si>
    <t>Entertainment</t>
  </si>
  <si>
    <t>Cash</t>
  </si>
  <si>
    <t>T003</t>
  </si>
  <si>
    <t>Transport</t>
  </si>
  <si>
    <t>T004</t>
  </si>
  <si>
    <t>Healthcare</t>
  </si>
  <si>
    <t>T005</t>
  </si>
  <si>
    <t>T006</t>
  </si>
  <si>
    <t>Mobile Money</t>
  </si>
  <si>
    <t>T007</t>
  </si>
  <si>
    <t>Other</t>
  </si>
  <si>
    <t>T008</t>
  </si>
  <si>
    <t>T009</t>
  </si>
  <si>
    <t>T010</t>
  </si>
  <si>
    <t>T011</t>
  </si>
  <si>
    <t>T012</t>
  </si>
  <si>
    <t>Utilities</t>
  </si>
  <si>
    <t>T013</t>
  </si>
  <si>
    <t>T014</t>
  </si>
  <si>
    <t>T015</t>
  </si>
  <si>
    <t>Education</t>
  </si>
  <si>
    <t>T016</t>
  </si>
  <si>
    <t>T017</t>
  </si>
  <si>
    <t>T018</t>
  </si>
  <si>
    <t>T019</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</si>
  <si>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</si>
  <si>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</si>
  <si>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</si>
  <si>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</si>
  <si>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</si>
  <si>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</si>
  <si>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</si>
  <si>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</si>
  <si>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</si>
  <si>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</si>
  <si>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</si>
  <si>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</si>
  <si>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</si>
  <si>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</si>
  <si>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</si>
  <si>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</si>
  <si>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</si>
  <si>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</si>
  <si>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</si>
  <si>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</si>
  <si>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</si>
  <si>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account_name</t>
  </si>
  <si>
    <t>customer_name</t>
  </si>
  <si>
    <t>Row Labels</t>
  </si>
  <si>
    <t>Grand Total</t>
  </si>
  <si>
    <t>Count of region</t>
  </si>
  <si>
    <t>Sum of amount</t>
  </si>
  <si>
    <t>Sum of balance</t>
  </si>
  <si>
    <t>Emmanuel Paddy Adams</t>
  </si>
  <si>
    <t>Finance</t>
  </si>
  <si>
    <t>Sheet</t>
  </si>
  <si>
    <t>Action</t>
  </si>
  <si>
    <t>Details</t>
  </si>
  <si>
    <t>accounts</t>
  </si>
  <si>
    <t>Cleaned</t>
  </si>
  <si>
    <t>trimmed spaces, fixed text,  standardized dates</t>
  </si>
  <si>
    <t>customers</t>
  </si>
  <si>
    <t xml:space="preserve">trimmed spaces, fixed text,  standardized dates, </t>
  </si>
  <si>
    <t>transactions</t>
  </si>
  <si>
    <t>Number Of Transactions</t>
  </si>
  <si>
    <t>Number Of customers</t>
  </si>
  <si>
    <t>Average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</si>
</sst>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GH₵&quot;* #,##0.00_-;\-&quot;GH₵&quot;* #,##0.00_-;_-&quot;GH₵&quot;* &quot;-&quot;??_-;_-@_-"/>
  </numFmts>
  <fonts count="5" x14ac:knownFonts="1">
    <font>
      <sz val="11"/>
      <color theme="1"/>
      <name val="Aptos Narrow"/>
      <family val="2"/>
      <scheme val="minor"/>
    </font>
    <font>
      <sz val="11"/>
      <color theme="1"/>
      <name val="Aptos Narrow"/>
      <family val="2"/>
      <scheme val="minor"/>
    </font>
    <font>
      <sz val="10"/>
      <color theme="1"/>
      <name val="Arial"/>
      <family val="2"/>
    </font>
    <font>
      <sz val="20"/>
      <color theme="1"/>
      <name val="Aptos Narrow"/>
      <family val="2"/>
      <scheme val="minor"/>
    </font>
    <font>
      <sz val="16"/>
      <color theme="1"/>
      <name val="Aptos Narrow"/>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0" fontId="0" fillId="0" borderId="0" xfId="0" applyNumberFormat="1"/>
    <xf numFmtId="14" fontId="0" fillId="0" borderId="0" xfId="0" applyNumberFormat="1"/>
    <xf numFmtId="44" fontId="0" fillId="0" borderId="0" xfId="1" applyFont="1"/>
    <xf numFmtId="0" fontId="0" fillId="0" borderId="0" xfId="0" pivotButton="1"/>
    <xf numFmtId="0" fontId="0" fillId="0" borderId="0" xfId="0" applyAlignment="1">
      <alignment horizontal="left"/>
    </xf>
    <xf numFmtId="44" fontId="0" fillId="0" borderId="0" xfId="0" applyNumberFormat="1"/>
    <xf numFmtId="0" fontId="2" fillId="0" borderId="1" xfId="0" applyFont="1" applyBorder="1" applyAlignment="1">
      <alignment wrapText="1"/>
    </xf>
    <xf numFmtId="44" fontId="3" fillId="0" borderId="0" xfId="0" applyNumberFormat="1" applyFont="1"/>
    <xf numFmtId="0" fontId="3" fillId="0" borderId="0" xfId="0" applyFont="1"/>
    <xf numFmtId="0" fontId="4" fillId="0" borderId="0" xfId="0" applyFont="1"/>
  </cellXfs>
  <cellStyles count="2">
    <cellStyle name="Currency" xfId="1" builtinId="4"/>
    <cellStyle name="Normal" xfId="0" builtinId="0"/>
  </cellStyles>
  <dxfs count="16">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[Cleaned_Data.xlsx]accounts!PivotTable3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accounts!$H$2</c:f>
              <c:strCache>
                <c:ptCount val="1"/>
                <c:pt idx="0">
                  <c:v>Total</c:v>
                </c:pt>
              </c:strCache>
            </c:strRef>
          </c:tx>
          <c:spPr>
            <a:solidFill>
              <a:schemeClr val="accent1"/>
            </a:solidFill>
            <a:ln>
              <a:noFill/>
            </a:ln>
            <a:effectLst/>
          </c:spPr>
          <c:invertIfNegative val="0"/>
          <c:cat>
            <c:strRef>
              <c:f>accounts!$G$3:$G$23</c:f>
              <c:strCache>
                <c:ptCount val="20"/>
                <c:pt idx="0">
                  <c:v>A001</c:v>
                </c:pt>
                <c:pt idx="1">
                  <c:v>A002</c:v>
                </c:pt>
                <c:pt idx="2">
                  <c:v>A003</c:v>
                </c:pt>
                <c:pt idx="3">
                  <c:v>A004</c:v>
                </c:pt>
                <c:pt idx="4">
                  <c:v>A005</c:v>
                </c:pt>
                <c:pt idx="5">
                  <c:v>A006</c:v>
                </c:pt>
                <c:pt idx="6">
                  <c:v>A007</c:v>
                </c:pt>
                <c:pt idx="7">
                  <c:v>A008</c:v>
                </c:pt>
                <c:pt idx="8">
                  <c:v>A009</c:v>
                </c:pt>
                <c:pt idx="9">
                  <c:v>A010</c:v>
                </c:pt>
                <c:pt idx="10">
                  <c:v>A011</c:v>
                </c:pt>
                <c:pt idx="11">
                  <c:v>A012</c:v>
                </c:pt>
                <c:pt idx="12">
                  <c:v>A013</c:v>
                </c:pt>
                <c:pt idx="13">
                  <c:v>A014</c:v>
                </c:pt>
                <c:pt idx="14">
                  <c:v>A015</c:v>
                </c:pt>
                <c:pt idx="15">
                  <c:v>A016</c:v>
                </c:pt>
                <c:pt idx="16">
                  <c:v>A017</c:v>
                </c:pt>
                <c:pt idx="17">
                  <c:v>A018</c:v>
                </c:pt>
                <c:pt idx="18">
                  <c:v>A019</c:v>
                </c:pt>
                <c:pt idx="19">
                  <c:v>A020</c:v>
                </c:pt>
              </c:strCache>
            </c:strRef>
          </c:cat>
          <c:val>
            <c:numRef>
              <c:f>accounts!$H$3:$H$23</c:f>
              <c:numCache>
                <c:formatCode>_("GH₵"* #,##0.00_);_("GH₵"* \(#,##0.00\);_("GH₵"* "-"??_);_(@_)</c:formatCode>
                <c:ptCount val="20"/>
                <c:pt idx="0">
                  <c:v>1539</c:v>
                </c:pt>
                <c:pt idx="1">
                  <c:v>5964</c:v>
                </c:pt>
                <c:pt idx="2">
                  <c:v>5835</c:v>
                </c:pt>
                <c:pt idx="3">
                  <c:v>4775</c:v>
                </c:pt>
                <c:pt idx="4">
                  <c:v>7042</c:v>
                </c:pt>
                <c:pt idx="5">
                  <c:v>8102</c:v>
                </c:pt>
                <c:pt idx="6">
                  <c:v>8312</c:v>
                </c:pt>
                <c:pt idx="7">
                  <c:v>6320</c:v>
                </c:pt>
                <c:pt idx="8">
                  <c:v>7132</c:v>
                </c:pt>
                <c:pt idx="9">
                  <c:v>8891</c:v>
                </c:pt>
                <c:pt idx="10">
                  <c:v>3779</c:v>
                </c:pt>
                <c:pt idx="11">
                  <c:v>1924</c:v>
                </c:pt>
                <c:pt idx="12">
                  <c:v>2581</c:v>
                </c:pt>
                <c:pt idx="13">
                  <c:v>8714</c:v>
                </c:pt>
                <c:pt idx="14">
                  <c:v>4324</c:v>
                </c:pt>
                <c:pt idx="15">
                  <c:v>6713</c:v>
                </c:pt>
                <c:pt idx="16">
                  <c:v>8026</c:v>
                </c:pt>
                <c:pt idx="17">
                  <c:v>1255</c:v>
                </c:pt>
                <c:pt idx="18">
                  <c:v>5804</c:v>
                </c:pt>
                <c:pt idx="19">
                  <c:v>2838</c:v>
                </c:pt>
              </c:numCache>
            </c:numRef>
          </c:val>
          <c:extLst>
            <c:ext xmlns:c16="http://schemas.microsoft.com/office/drawing/2014/chart" uri="{C3380CC4-5D6E-409C-BE32-E72D297353CC}">
              <c16:uniqueId val="{00000000-69F7-42B3-8BCF-AEBC13E36BA5}"/>
            </c:ext>
          </c:extLst>
        </c:ser>
        <c:dLbls>
          <c:showLegendKey val="0"/>
          <c:showVal val="0"/>
          <c:showCatName val="0"/>
          <c:showSerName val="0"/>
          <c:showPercent val="0"/>
          <c:showBubbleSize val="0"/>
        </c:dLbls>
        <c:gapWidth val="219"/>
        <c:overlap val="-27"/>
        <c:axId val="348256992"/>
        <c:axId val="348264192"/>
      </c:barChart>
      <c:catAx>
        <c:axId val="34825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348264192"/>
        <c:crosses val="autoZero"/>
        <c:auto val="1"/>
        <c:lblAlgn val="ctr"/>
        <c:lblOffset val="100"/>
        <c:noMultiLvlLbl val="0"/>
      </c:catAx>
      <c:valAx>
        <c:axId val="348264192"/>
        <c:scaling>
          <c:orientation val="minMax"/>
        </c:scaling>
        <c:delete val="0"/>
        <c:axPos val="l"/>
        <c:majorGridlines>
          <c:spPr>
            <a:ln w="9525" cap="flat" cmpd="sng" algn="ctr">
              <a:solidFill>
                <a:schemeClr val="tx1">
                  <a:lumMod val="15000"/>
                  <a:lumOff val="85000"/>
                </a:schemeClr>
              </a:solidFill>
              <a:round/>
            </a:ln>
            <a:effectLst/>
          </c:spPr>
        </c:majorGridlines>
        <c:numFmt formatCode="_(&quot;GH₵&quot;* #,##0.00_);_(&quot;GH₵&quot;* \(#,##0.00\);_(&quot;GH₵&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34825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[Cleaned_Data.xlsx]customers!PivotTable1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'customers'!$G$2</c:f>
              <c:strCache>
                <c:ptCount val="1"/>
                <c:pt idx="0">
                  <c:v>Total</c:v>
                </c:pt>
              </c:strCache>
            </c:strRef>
          </c:tx>
          <c:spPr>
            <a:solidFill>
              <a:schemeClr val="accent1"/>
            </a:solidFill>
            <a:ln>
              <a:noFill/>
            </a:ln>
            <a:effectLst/>
          </c:spPr>
          <c:invertIfNegative val="0"/>
          <c:cat>
            <c:strRef>
              <c:f>'customers'!$F$3:$F$9</c:f>
              <c:strCache>
                <c:ptCount val="6"/>
                <c:pt idx="0">
                  <c:v>Banker</c:v>
                </c:pt>
                <c:pt idx="1">
                  <c:v>Engineer</c:v>
                </c:pt>
                <c:pt idx="2">
                  <c:v>Farmer</c:v>
                </c:pt>
                <c:pt idx="3">
                  <c:v>Student</c:v>
                </c:pt>
                <c:pt idx="4">
                  <c:v>Teacher</c:v>
                </c:pt>
                <c:pt idx="5">
                  <c:v>Trader</c:v>
                </c:pt>
              </c:strCache>
            </c:strRef>
          </c:cat>
          <c:val>
            <c:numRef>
              <c:f>'customers'!$G$3:$G$9</c:f>
              <c:numCache>
                <c:formatCode>General</c:formatCode>
                <c:ptCount val="6"/>
                <c:pt idx="0">
                  <c:v>3</c:v>
                </c:pt>
                <c:pt idx="1">
                  <c:v>2</c:v>
                </c:pt>
                <c:pt idx="2">
                  <c:v>1</c:v>
                </c:pt>
                <c:pt idx="3">
                  <c:v>6</c:v>
                </c:pt>
                <c:pt idx="4">
                  <c:v>2</c:v>
                </c:pt>
                <c:pt idx="5">
                  <c:v>6</c:v>
                </c:pt>
              </c:numCache>
            </c:numRef>
          </c:val>
          <c:extLst>
            <c:ext xmlns:c16="http://schemas.microsoft.com/office/drawing/2014/chart" uri="{C3380CC4-5D6E-409C-BE32-E72D297353CC}">
              <c16:uniqueId val="{00000000-509C-4158-83FE-F689DE5B942D}"/>
            </c:ext>
          </c:extLst>
        </c:ser>
        <c:dLbls>
          <c:showLegendKey val="0"/>
          <c:showVal val="0"/>
          <c:showCatName val="0"/>
          <c:showSerName val="0"/>
          <c:showPercent val="0"/>
          <c:showBubbleSize val="0"/>
        </c:dLbls>
        <c:gapWidth val="219"/>
        <c:overlap val="-27"/>
        <c:axId val="1548497216"/>
        <c:axId val="1548497696"/>
      </c:barChart>
      <c:catAx>
        <c:axId val="154849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548497696"/>
        <c:crosses val="autoZero"/>
        <c:auto val="1"/>
        <c:lblAlgn val="ctr"/>
        <c:lblOffset val="100"/>
        <c:noMultiLvlLbl val="0"/>
      </c:catAx>
      <c:valAx>
        <c:axId val="1548497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54849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[Cleaned_Data.xlsx]transactions!PivotTable2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transactions!$J$3</c:f>
              <c:strCache>
                <c:ptCount val="1"/>
                <c:pt idx="0">
                  <c:v>Total</c:v>
                </c:pt>
              </c:strCache>
            </c:strRef>
          </c:tx>
          <c:spPr>
            <a:solidFill>
              <a:schemeClr val="accent1"/>
            </a:solidFill>
            <a:ln>
              <a:noFill/>
            </a:ln>
            <a:effectLst/>
          </c:spPr>
          <c:invertIfNegative val="0"/>
          <c:cat>
            <c:strRef>
              <c:f>transactions!$I$4:$I$19</c:f>
              <c:strCache>
                <c:ptCount val="15"/>
                <c:pt idx="0">
                  <c:v>C003</c:v>
                </c:pt>
                <c:pt idx="1">
                  <c:v>C004</c:v>
                </c:pt>
                <c:pt idx="2">
                  <c:v>C005</c:v>
                </c:pt>
                <c:pt idx="3">
                  <c:v>C007</c:v>
                </c:pt>
                <c:pt idx="4">
                  <c:v>C009</c:v>
                </c:pt>
                <c:pt idx="5">
                  <c:v>C010</c:v>
                </c:pt>
                <c:pt idx="6">
                  <c:v>C012</c:v>
                </c:pt>
                <c:pt idx="7">
                  <c:v>C013</c:v>
                </c:pt>
                <c:pt idx="8">
                  <c:v>C014</c:v>
                </c:pt>
                <c:pt idx="9">
                  <c:v>C015</c:v>
                </c:pt>
                <c:pt idx="10">
                  <c:v>C016</c:v>
                </c:pt>
                <c:pt idx="11">
                  <c:v>C017</c:v>
                </c:pt>
                <c:pt idx="12">
                  <c:v>C018</c:v>
                </c:pt>
                <c:pt idx="13">
                  <c:v>C019</c:v>
                </c:pt>
                <c:pt idx="14">
                  <c:v>C020</c:v>
                </c:pt>
              </c:strCache>
            </c:strRef>
          </c:cat>
          <c:val>
            <c:numRef>
              <c:f>transactions!$J$4:$J$19</c:f>
              <c:numCache>
                <c:formatCode>_("GH₵"* #,##0.00_);_("GH₵"* \(#,##0.00\);_("GH₵"* "-"??_);_(@_)</c:formatCode>
                <c:ptCount val="15"/>
                <c:pt idx="0">
                  <c:v>1309</c:v>
                </c:pt>
                <c:pt idx="1">
                  <c:v>725</c:v>
                </c:pt>
                <c:pt idx="2">
                  <c:v>627</c:v>
                </c:pt>
                <c:pt idx="3">
                  <c:v>416</c:v>
                </c:pt>
                <c:pt idx="4">
                  <c:v>767</c:v>
                </c:pt>
                <c:pt idx="5">
                  <c:v>243</c:v>
                </c:pt>
                <c:pt idx="6">
                  <c:v>1037</c:v>
                </c:pt>
                <c:pt idx="7">
                  <c:v>594</c:v>
                </c:pt>
                <c:pt idx="8">
                  <c:v>190</c:v>
                </c:pt>
                <c:pt idx="9">
                  <c:v>175</c:v>
                </c:pt>
                <c:pt idx="10">
                  <c:v>786</c:v>
                </c:pt>
                <c:pt idx="11">
                  <c:v>2193</c:v>
                </c:pt>
                <c:pt idx="12">
                  <c:v>370</c:v>
                </c:pt>
                <c:pt idx="13">
                  <c:v>568</c:v>
                </c:pt>
                <c:pt idx="14">
                  <c:v>615</c:v>
                </c:pt>
              </c:numCache>
            </c:numRef>
          </c:val>
          <c:extLst>
            <c:ext xmlns:c16="http://schemas.microsoft.com/office/drawing/2014/chart" uri="{C3380CC4-5D6E-409C-BE32-E72D297353CC}">
              <c16:uniqueId val="{00000000-AC70-4212-9CE6-F7755CDBB482}"/>
            </c:ext>
          </c:extLst>
        </c:ser>
        <c:dLbls>
          <c:showLegendKey val="0"/>
          <c:showVal val="0"/>
          <c:showCatName val="0"/>
          <c:showSerName val="0"/>
          <c:showPercent val="0"/>
          <c:showBubbleSize val="0"/>
        </c:dLbls>
        <c:gapWidth val="219"/>
        <c:overlap val="-27"/>
        <c:axId val="1548500576"/>
        <c:axId val="1548502016"/>
      </c:barChart>
      <c:catAx>
        <c:axId val="154850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548502016"/>
        <c:crosses val="autoZero"/>
        <c:auto val="1"/>
        <c:lblAlgn val="ctr"/>
        <c:lblOffset val="100"/>
        <c:noMultiLvlLbl val="0"/>
      </c:catAx>
      <c:valAx>
        <c:axId val="1548502016"/>
        <c:scaling>
          <c:orientation val="minMax"/>
        </c:scaling>
        <c:delete val="0"/>
        <c:axPos val="l"/>
        <c:majorGridlines>
          <c:spPr>
            <a:ln w="9525" cap="flat" cmpd="sng" algn="ctr">
              <a:solidFill>
                <a:schemeClr val="tx1">
                  <a:lumMod val="15000"/>
                  <a:lumOff val="85000"/>
                </a:schemeClr>
              </a:solidFill>
              <a:round/>
            </a:ln>
            <a:effectLst/>
          </c:spPr>
        </c:majorGridlines>
        <c:numFmt formatCode="_(&quot;GH₵&quot;* #,##0.00_);_(&quot;GH₵&quot;* \(#,##0.00\);_(&quot;GH₵&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54850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[Cleaned_Data.xlsx]accounts!PivotTable3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accounts!$H$2</c:f>
              <c:strCache>
                <c:ptCount val="1"/>
                <c:pt idx="0">
                  <c:v>Total</c:v>
                </c:pt>
              </c:strCache>
            </c:strRef>
          </c:tx>
          <c:spPr>
            <a:solidFill>
              <a:schemeClr val="accent1"/>
            </a:solidFill>
            <a:ln>
              <a:noFill/>
            </a:ln>
            <a:effectLst/>
          </c:spPr>
          <c:invertIfNegative val="0"/>
          <c:cat>
            <c:strRef>
              <c:f>accounts!$G$3:$G$23</c:f>
              <c:strCache>
                <c:ptCount val="20"/>
                <c:pt idx="0">
                  <c:v>A001</c:v>
                </c:pt>
                <c:pt idx="1">
                  <c:v>A002</c:v>
                </c:pt>
                <c:pt idx="2">
                  <c:v>A003</c:v>
                </c:pt>
                <c:pt idx="3">
                  <c:v>A004</c:v>
                </c:pt>
                <c:pt idx="4">
                  <c:v>A005</c:v>
                </c:pt>
                <c:pt idx="5">
                  <c:v>A006</c:v>
                </c:pt>
                <c:pt idx="6">
                  <c:v>A007</c:v>
                </c:pt>
                <c:pt idx="7">
                  <c:v>A008</c:v>
                </c:pt>
                <c:pt idx="8">
                  <c:v>A009</c:v>
                </c:pt>
                <c:pt idx="9">
                  <c:v>A010</c:v>
                </c:pt>
                <c:pt idx="10">
                  <c:v>A011</c:v>
                </c:pt>
                <c:pt idx="11">
                  <c:v>A012</c:v>
                </c:pt>
                <c:pt idx="12">
                  <c:v>A013</c:v>
                </c:pt>
                <c:pt idx="13">
                  <c:v>A014</c:v>
                </c:pt>
                <c:pt idx="14">
                  <c:v>A015</c:v>
                </c:pt>
                <c:pt idx="15">
                  <c:v>A016</c:v>
                </c:pt>
                <c:pt idx="16">
                  <c:v>A017</c:v>
                </c:pt>
                <c:pt idx="17">
                  <c:v>A018</c:v>
                </c:pt>
                <c:pt idx="18">
                  <c:v>A019</c:v>
                </c:pt>
                <c:pt idx="19">
                  <c:v>A020</c:v>
                </c:pt>
              </c:strCache>
            </c:strRef>
          </c:cat>
          <c:val>
            <c:numRef>
              <c:f>accounts!$H$3:$H$23</c:f>
              <c:numCache>
                <c:formatCode>_("GH₵"* #,##0.00_);_("GH₵"* \(#,##0.00\);_("GH₵"* "-"??_);_(@_)</c:formatCode>
                <c:ptCount val="20"/>
                <c:pt idx="0">
                  <c:v>1539</c:v>
                </c:pt>
                <c:pt idx="1">
                  <c:v>5964</c:v>
                </c:pt>
                <c:pt idx="2">
                  <c:v>5835</c:v>
                </c:pt>
                <c:pt idx="3">
                  <c:v>4775</c:v>
                </c:pt>
                <c:pt idx="4">
                  <c:v>7042</c:v>
                </c:pt>
                <c:pt idx="5">
                  <c:v>8102</c:v>
                </c:pt>
                <c:pt idx="6">
                  <c:v>8312</c:v>
                </c:pt>
                <c:pt idx="7">
                  <c:v>6320</c:v>
                </c:pt>
                <c:pt idx="8">
                  <c:v>7132</c:v>
                </c:pt>
                <c:pt idx="9">
                  <c:v>8891</c:v>
                </c:pt>
                <c:pt idx="10">
                  <c:v>3779</c:v>
                </c:pt>
                <c:pt idx="11">
                  <c:v>1924</c:v>
                </c:pt>
                <c:pt idx="12">
                  <c:v>2581</c:v>
                </c:pt>
                <c:pt idx="13">
                  <c:v>8714</c:v>
                </c:pt>
                <c:pt idx="14">
                  <c:v>4324</c:v>
                </c:pt>
                <c:pt idx="15">
                  <c:v>6713</c:v>
                </c:pt>
                <c:pt idx="16">
                  <c:v>8026</c:v>
                </c:pt>
                <c:pt idx="17">
                  <c:v>1255</c:v>
                </c:pt>
                <c:pt idx="18">
                  <c:v>5804</c:v>
                </c:pt>
                <c:pt idx="19">
                  <c:v>2838</c:v>
                </c:pt>
              </c:numCache>
            </c:numRef>
          </c:val>
          <c:extLst>
            <c:ext xmlns:c16="http://schemas.microsoft.com/office/drawing/2014/chart" uri="{C3380CC4-5D6E-409C-BE32-E72D297353CC}">
              <c16:uniqueId val="{00000000-8E3A-4014-86AC-56618C411E5E}"/>
            </c:ext>
          </c:extLst>
        </c:ser>
        <c:dLbls>
          <c:showLegendKey val="0"/>
          <c:showVal val="0"/>
          <c:showCatName val="0"/>
          <c:showSerName val="0"/>
          <c:showPercent val="0"/>
          <c:showBubbleSize val="0"/>
        </c:dLbls>
        <c:gapWidth val="219"/>
        <c:overlap val="-27"/>
        <c:axId val="348256992"/>
        <c:axId val="348264192"/>
      </c:barChart>
      <c:catAx>
        <c:axId val="34825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348264192"/>
        <c:crosses val="autoZero"/>
        <c:auto val="1"/>
        <c:lblAlgn val="ctr"/>
        <c:lblOffset val="100"/>
        <c:noMultiLvlLbl val="0"/>
      </c:catAx>
      <c:valAx>
        <c:axId val="348264192"/>
        <c:scaling>
          <c:orientation val="minMax"/>
        </c:scaling>
        <c:delete val="0"/>
        <c:axPos val="l"/>
        <c:majorGridlines>
          <c:spPr>
            <a:ln w="9525" cap="flat" cmpd="sng" algn="ctr">
              <a:solidFill>
                <a:schemeClr val="tx1">
                  <a:lumMod val="15000"/>
                  <a:lumOff val="85000"/>
                </a:schemeClr>
              </a:solidFill>
              <a:round/>
            </a:ln>
            <a:effectLst/>
          </c:spPr>
        </c:majorGridlines>
        <c:numFmt formatCode="_(&quot;GH₵&quot;* #,##0.00_);_(&quot;GH₵&quot;* \(#,##0.00\);_(&quot;GH₵&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34825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[Cleaned_Data.xlsx]transactions!PivotTable2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transactions!$J$3</c:f>
              <c:strCache>
                <c:ptCount val="1"/>
                <c:pt idx="0">
                  <c:v>Total</c:v>
                </c:pt>
              </c:strCache>
            </c:strRef>
          </c:tx>
          <c:spPr>
            <a:solidFill>
              <a:schemeClr val="accent1"/>
            </a:solidFill>
            <a:ln>
              <a:noFill/>
            </a:ln>
            <a:effectLst/>
          </c:spPr>
          <c:invertIfNegative val="0"/>
          <c:cat>
            <c:strRef>
              <c:f>transactions!$I$4:$I$19</c:f>
              <c:strCache>
                <c:ptCount val="15"/>
                <c:pt idx="0">
                  <c:v>C003</c:v>
                </c:pt>
                <c:pt idx="1">
                  <c:v>C004</c:v>
                </c:pt>
                <c:pt idx="2">
                  <c:v>C005</c:v>
                </c:pt>
                <c:pt idx="3">
                  <c:v>C007</c:v>
                </c:pt>
                <c:pt idx="4">
                  <c:v>C009</c:v>
                </c:pt>
                <c:pt idx="5">
                  <c:v>C010</c:v>
                </c:pt>
                <c:pt idx="6">
                  <c:v>C012</c:v>
                </c:pt>
                <c:pt idx="7">
                  <c:v>C013</c:v>
                </c:pt>
                <c:pt idx="8">
                  <c:v>C014</c:v>
                </c:pt>
                <c:pt idx="9">
                  <c:v>C015</c:v>
                </c:pt>
                <c:pt idx="10">
                  <c:v>C016</c:v>
                </c:pt>
                <c:pt idx="11">
                  <c:v>C017</c:v>
                </c:pt>
                <c:pt idx="12">
                  <c:v>C018</c:v>
                </c:pt>
                <c:pt idx="13">
                  <c:v>C019</c:v>
                </c:pt>
                <c:pt idx="14">
                  <c:v>C020</c:v>
                </c:pt>
              </c:strCache>
            </c:strRef>
          </c:cat>
          <c:val>
            <c:numRef>
              <c:f>transactions!$J$4:$J$19</c:f>
              <c:numCache>
                <c:formatCode>_("GH₵"* #,##0.00_);_("GH₵"* \(#,##0.00\);_("GH₵"* "-"??_);_(@_)</c:formatCode>
                <c:ptCount val="15"/>
                <c:pt idx="0">
                  <c:v>1309</c:v>
                </c:pt>
                <c:pt idx="1">
                  <c:v>725</c:v>
                </c:pt>
                <c:pt idx="2">
                  <c:v>627</c:v>
                </c:pt>
                <c:pt idx="3">
                  <c:v>416</c:v>
                </c:pt>
                <c:pt idx="4">
                  <c:v>767</c:v>
                </c:pt>
                <c:pt idx="5">
                  <c:v>243</c:v>
                </c:pt>
                <c:pt idx="6">
                  <c:v>1037</c:v>
                </c:pt>
                <c:pt idx="7">
                  <c:v>594</c:v>
                </c:pt>
                <c:pt idx="8">
                  <c:v>190</c:v>
                </c:pt>
                <c:pt idx="9">
                  <c:v>175</c:v>
                </c:pt>
                <c:pt idx="10">
                  <c:v>786</c:v>
                </c:pt>
                <c:pt idx="11">
                  <c:v>2193</c:v>
                </c:pt>
                <c:pt idx="12">
                  <c:v>370</c:v>
                </c:pt>
                <c:pt idx="13">
                  <c:v>568</c:v>
                </c:pt>
                <c:pt idx="14">
                  <c:v>615</c:v>
                </c:pt>
              </c:numCache>
            </c:numRef>
          </c:val>
          <c:extLst>
            <c:ext xmlns:c16="http://schemas.microsoft.com/office/drawing/2014/chart" uri="{C3380CC4-5D6E-409C-BE32-E72D297353CC}">
              <c16:uniqueId val="{00000000-0407-473A-B147-5905666C4F25}"/>
            </c:ext>
          </c:extLst>
        </c:ser>
        <c:dLbls>
          <c:showLegendKey val="0"/>
          <c:showVal val="0"/>
          <c:showCatName val="0"/>
          <c:showSerName val="0"/>
          <c:showPercent val="0"/>
          <c:showBubbleSize val="0"/>
        </c:dLbls>
        <c:gapWidth val="219"/>
        <c:overlap val="-27"/>
        <c:axId val="1548500576"/>
        <c:axId val="1548502016"/>
      </c:barChart>
      <c:catAx>
        <c:axId val="154850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548502016"/>
        <c:crosses val="autoZero"/>
        <c:auto val="1"/>
        <c:lblAlgn val="ctr"/>
        <c:lblOffset val="100"/>
        <c:noMultiLvlLbl val="0"/>
      </c:catAx>
      <c:valAx>
        <c:axId val="1548502016"/>
        <c:scaling>
          <c:orientation val="minMax"/>
        </c:scaling>
        <c:delete val="0"/>
        <c:axPos val="l"/>
        <c:majorGridlines>
          <c:spPr>
            <a:ln w="9525" cap="flat" cmpd="sng" algn="ctr">
              <a:solidFill>
                <a:schemeClr val="tx1">
                  <a:lumMod val="15000"/>
                  <a:lumOff val="85000"/>
                </a:schemeClr>
              </a:solidFill>
              <a:round/>
            </a:ln>
            <a:effectLst/>
          </c:spPr>
        </c:majorGridlines>
        <c:numFmt formatCode="_(&quot;GH₵&quot;* #,##0.00_);_(&quot;GH₵&quot;* \(#,##0.00\);_(&quot;GH₵&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54850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[Cleaned_Data.xlsx]customers!PivotTable1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'customers'!$G$2</c:f>
              <c:strCache>
                <c:ptCount val="1"/>
                <c:pt idx="0">
                  <c:v>Total</c:v>
                </c:pt>
              </c:strCache>
            </c:strRef>
          </c:tx>
          <c:spPr>
            <a:solidFill>
              <a:schemeClr val="accent1"/>
            </a:solidFill>
            <a:ln>
              <a:noFill/>
            </a:ln>
            <a:effectLst/>
          </c:spPr>
          <c:invertIfNegative val="0"/>
          <c:cat>
            <c:strRef>
              <c:f>'customers'!$F$3:$F$9</c:f>
              <c:strCache>
                <c:ptCount val="6"/>
                <c:pt idx="0">
                  <c:v>Banker</c:v>
                </c:pt>
                <c:pt idx="1">
                  <c:v>Engineer</c:v>
                </c:pt>
                <c:pt idx="2">
                  <c:v>Farmer</c:v>
                </c:pt>
                <c:pt idx="3">
                  <c:v>Student</c:v>
                </c:pt>
                <c:pt idx="4">
                  <c:v>Teacher</c:v>
                </c:pt>
                <c:pt idx="5">
                  <c:v>Trader</c:v>
                </c:pt>
              </c:strCache>
            </c:strRef>
          </c:cat>
          <c:val>
            <c:numRef>
              <c:f>'customers'!$G$3:$G$9</c:f>
              <c:numCache>
                <c:formatCode>General</c:formatCode>
                <c:ptCount val="6"/>
                <c:pt idx="0">
                  <c:v>3</c:v>
                </c:pt>
                <c:pt idx="1">
                  <c:v>2</c:v>
                </c:pt>
                <c:pt idx="2">
                  <c:v>1</c:v>
                </c:pt>
                <c:pt idx="3">
                  <c:v>6</c:v>
                </c:pt>
                <c:pt idx="4">
                  <c:v>2</c:v>
                </c:pt>
                <c:pt idx="5">
                  <c:v>6</c:v>
                </c:pt>
              </c:numCache>
            </c:numRef>
          </c:val>
          <c:extLst>
            <c:ext xmlns:c16="http://schemas.microsoft.com/office/drawing/2014/chart" uri="{C3380CC4-5D6E-409C-BE32-E72D297353CC}">
              <c16:uniqueId val="{00000000-9C4B-4FDC-AF3A-D3EA4CFE73C6}"/>
            </c:ext>
          </c:extLst>
        </c:ser>
        <c:dLbls>
          <c:showLegendKey val="0"/>
          <c:showVal val="0"/>
          <c:showCatName val="0"/>
          <c:showSerName val="0"/>
          <c:showPercent val="0"/>
          <c:showBubbleSize val="0"/>
        </c:dLbls>
        <c:gapWidth val="219"/>
        <c:overlap val="-27"/>
        <c:axId val="1548497216"/>
        <c:axId val="1548497696"/>
      </c:barChart>
      <c:catAx>
        <c:axId val="154849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548497696"/>
        <c:crosses val="autoZero"/>
        <c:auto val="1"/>
        <c:lblAlgn val="ctr"/>
        <c:lblOffset val="100"/>
        <c:noMultiLvlLbl val="0"/>
      </c:catAx>
      <c:valAx>
        <c:axId val="1548497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54849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123825</xdr:colOff>
      <xdr:row>1</xdr:row>
      <xdr:rowOff>9525</xdr:rowOff>
    </xdr:from>
    <xdr:to>
      <xdr:col>15</xdr:col>
      <xdr:colOff>428625</xdr:colOff>
      <xdr:row>15</xdr:row>
      <xdr:rowOff>85725</xdr:rowOff>
    </xdr:to>
    <xdr:graphicFrame macro="">
      <xdr:nvGraphicFramePr>
        <xdr:cNvPr id="3" name="Chart 2">
          <a:extLst>
            <a:ext uri="{FF2B5EF4-FFF2-40B4-BE49-F238E27FC236}">
              <a16:creationId xmlns:a16="http://schemas.microsoft.com/office/drawing/2014/main" id="{60730EAB-CE74-DFEB-E7DF-C7F06B40C7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542925</xdr:colOff>
      <xdr:row>1</xdr:row>
      <xdr:rowOff>57150</xdr:rowOff>
    </xdr:from>
    <xdr:to>
      <xdr:col>18</xdr:col>
      <xdr:colOff>542925</xdr:colOff>
      <xdr:row>15</xdr:row>
      <xdr:rowOff>57150</xdr:rowOff>
    </xdr:to>
    <mc:AlternateContent xmlns:mc="http://schemas.openxmlformats.org/markup-compatibility/2006">
      <mc:Choice xmlns:a14="http://schemas.microsoft.com/office/drawing/2010/main" Requires="a14">
        <xdr:graphicFrame macro="">
          <xdr:nvGraphicFramePr>
            <xdr:cNvPr id="4" name="account_type 1">
              <a:extLst>
                <a:ext uri="{FF2B5EF4-FFF2-40B4-BE49-F238E27FC236}">
                  <a16:creationId xmlns:a16="http://schemas.microsoft.com/office/drawing/2014/main" id="{0E5DD748-534C-F35D-647E-0ADE7287A37F}"/>
                </a:ext>
              </a:extLst>
            </xdr:cNvPr>
            <xdr:cNvGraphicFramePr/>
          </xdr:nvGraphicFramePr>
          <xdr:xfrm>
            <a:off x="0" y="0"/>
            <a:ext cx="0" cy="0"/>
          </xdr:xfrm>
          <a:graphic>
            <a:graphicData uri="http://schemas.microsoft.com/office/drawing/2010/slicer">
              <sle:slicer xmlns:sle="http://schemas.microsoft.com/office/drawing/2010/slicer" name="account_type 1"/>
            </a:graphicData>
          </a:graphic>
        </xdr:graphicFrame>
      </mc:Choice>
      <mc:Fallback>
        <xdr:sp macro="" textlink="">
          <xdr:nvSpPr>
            <xdr:cNvPr id="0" name=""/>
            <xdr:cNvSpPr>
              <a:spLocks noTextEdit="1"/>
            </xdr:cNvSpPr>
          </xdr:nvSpPr>
          <xdr:spPr>
            <a:xfrm>
              <a:off x="12344400" y="247650"/>
              <a:ext cx="1828800" cy="266700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47625</xdr:colOff>
      <xdr:row>1</xdr:row>
      <xdr:rowOff>0</xdr:rowOff>
    </xdr:from>
    <xdr:to>
      <xdr:col>14</xdr:col>
      <xdr:colOff>352425</xdr:colOff>
      <xdr:row>15</xdr:row>
      <xdr:rowOff>76200</xdr:rowOff>
    </xdr:to>
    <xdr:graphicFrame macro="">
      <xdr:nvGraphicFramePr>
        <xdr:cNvPr id="2" name="Chart 1">
          <a:extLst>
            <a:ext uri="{FF2B5EF4-FFF2-40B4-BE49-F238E27FC236}">
              <a16:creationId xmlns:a16="http://schemas.microsoft.com/office/drawing/2014/main" id="{21A6E720-D8C9-3D0D-F189-1B7A7D467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476250</xdr:colOff>
      <xdr:row>1</xdr:row>
      <xdr:rowOff>47625</xdr:rowOff>
    </xdr:from>
    <xdr:to>
      <xdr:col>17</xdr:col>
      <xdr:colOff>476250</xdr:colOff>
      <xdr:row>15</xdr:row>
      <xdr:rowOff>47625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1CEFAB1A-7C16-F191-7283-F04685633B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696575" y="238125"/>
              <a:ext cx="1828800" cy="266700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10</xdr:col>
      <xdr:colOff>85725</xdr:colOff>
      <xdr:row>2</xdr:row>
      <xdr:rowOff>28575</xdr:rowOff>
    </xdr:from>
    <xdr:to>
      <xdr:col>17</xdr:col>
      <xdr:colOff>390525</xdr:colOff>
      <xdr:row>16</xdr:row>
      <xdr:rowOff>104775</xdr:rowOff>
    </xdr:to>
    <xdr:graphicFrame macro="">
      <xdr:nvGraphicFramePr>
        <xdr:cNvPr id="2" name="Chart 1">
          <a:extLst>
            <a:ext uri="{FF2B5EF4-FFF2-40B4-BE49-F238E27FC236}">
              <a16:creationId xmlns:a16="http://schemas.microsoft.com/office/drawing/2014/main" id="{8ABBBA1C-257B-C035-4DC6-0F3B23F31F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561975</xdr:colOff>
      <xdr:row>2</xdr:row>
      <xdr:rowOff>0</xdr:rowOff>
    </xdr:from>
    <xdr:to>
      <xdr:col>20</xdr:col>
      <xdr:colOff>561975</xdr:colOff>
      <xdr:row>16</xdr:row>
      <xdr:rowOff>0</xdr:rowOff>
    </xdr:to>
    <mc:AlternateContent xmlns:mc="http://schemas.openxmlformats.org/markup-compatibility/2006">
      <mc:Choice xmlns:a14="http://schemas.microsoft.com/office/drawing/2010/main" Requires="a14">
        <xdr:graphicFrame macro="">
          <xdr:nvGraphicFramePr>
            <xdr:cNvPr id="3" name="payment_method">
              <a:extLst>
                <a:ext uri="{FF2B5EF4-FFF2-40B4-BE49-F238E27FC236}">
                  <a16:creationId xmlns:a16="http://schemas.microsoft.com/office/drawing/2014/main" id="{DA547879-CCD2-D6BC-C63F-1FCA53A0245C}"/>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3487400" y="381000"/>
              <a:ext cx="1828800" cy="266700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85725</xdr:colOff>
      <xdr:row>2</xdr:row>
      <xdr:rowOff>57150</xdr:rowOff>
    </xdr:from>
    <xdr:to>
      <xdr:col>24</xdr:col>
      <xdr:colOff>85725</xdr:colOff>
      <xdr:row>16</xdr:row>
      <xdr:rowOff>57150</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E02722C1-7FE3-77C2-F75E-9F6E6FDBA41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449550" y="438150"/>
              <a:ext cx="1828800" cy="266700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171450</xdr:colOff>
      <xdr:row>2</xdr:row>
      <xdr:rowOff>66675</xdr:rowOff>
    </xdr:from>
    <xdr:to>
      <xdr:col>27</xdr:col>
      <xdr:colOff>171450</xdr:colOff>
      <xdr:row>16</xdr:row>
      <xdr:rowOff>66675</xdr:rowOff>
    </xdr:to>
    <mc:AlternateContent xmlns:mc="http://schemas.openxmlformats.org/markup-compatibility/2006">
      <mc:Choice xmlns:a14="http://schemas.microsoft.com/office/drawing/2010/main" Requires="a14">
        <xdr:graphicFrame macro="">
          <xdr:nvGraphicFramePr>
            <xdr:cNvPr id="5" name="account_type">
              <a:extLst>
                <a:ext uri="{FF2B5EF4-FFF2-40B4-BE49-F238E27FC236}">
                  <a16:creationId xmlns:a16="http://schemas.microsoft.com/office/drawing/2014/main" id="{E81FE3E8-F3AE-A3F0-9E26-EEA275B9DEDD}"/>
                </a:ext>
              </a:extLst>
            </xdr:cNvPr>
            <xdr:cNvGraphicFramePr/>
          </xdr:nvGraphicFramePr>
          <xdr:xfrm>
            <a:off x="0" y="0"/>
            <a:ext cx="0" cy="0"/>
          </xdr:xfrm>
          <a:graphic>
            <a:graphicData uri="http://schemas.microsoft.com/office/drawing/2010/slicer">
              <sle:slicer xmlns:sle="http://schemas.microsoft.com/office/drawing/2010/slicer" name="account_type"/>
            </a:graphicData>
          </a:graphic>
        </xdr:graphicFrame>
      </mc:Choice>
      <mc:Fallback>
        <xdr:sp macro="" textlink="">
          <xdr:nvSpPr>
            <xdr:cNvPr id="0" name=""/>
            <xdr:cNvSpPr>
              <a:spLocks noTextEdit="1"/>
            </xdr:cNvSpPr>
          </xdr:nvSpPr>
          <xdr:spPr>
            <a:xfrm>
              <a:off x="17364075" y="447675"/>
              <a:ext cx="1828800" cy="266700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7</xdr:row>
      <xdr:rowOff>19050</xdr:rowOff>
    </xdr:from>
    <xdr:to>
      <xdr:col>4</xdr:col>
      <xdr:colOff>142875</xdr:colOff>
      <xdr:row>21</xdr:row>
      <xdr:rowOff>95250</xdr:rowOff>
    </xdr:to>
    <xdr:graphicFrame macro="">
      <xdr:nvGraphicFramePr>
        <xdr:cNvPr id="2" name="Chart 1">
          <a:extLst>
            <a:ext uri="{FF2B5EF4-FFF2-40B4-BE49-F238E27FC236}">
              <a16:creationId xmlns:a16="http://schemas.microsoft.com/office/drawing/2014/main" id="{BB79EEAD-2696-48C5-8D4F-99C74FB06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514350</xdr:colOff>
      <xdr:row>6</xdr:row>
      <xdr:rowOff>171450</xdr:rowOff>
    </xdr:from>
    <xdr:to>
      <xdr:col>14</xdr:col>
      <xdr:colOff>476250</xdr:colOff>
      <xdr:row>21</xdr:row>
      <xdr:rowOff>57150</xdr:rowOff>
    </xdr:to>
    <xdr:graphicFrame macro="">
      <xdr:nvGraphicFramePr>
        <xdr:cNvPr id="4" name="Chart 3">
          <a:extLst>
            <a:ext uri="{FF2B5EF4-FFF2-40B4-BE49-F238E27FC236}">
              <a16:creationId xmlns:a16="http://schemas.microsoft.com/office/drawing/2014/main" id="{171984E4-8EE3-4967-8EE6-165BE2429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285750</xdr:colOff>
      <xdr:row>7</xdr:row>
      <xdr:rowOff>9525</xdr:rowOff>
    </xdr:from>
    <xdr:to>
      <xdr:col>9</xdr:col>
      <xdr:colOff>285750</xdr:colOff>
      <xdr:row>21</xdr:row>
      <xdr:rowOff>85725</xdr:rowOff>
    </xdr:to>
    <xdr:graphicFrame macro="">
      <xdr:nvGraphicFramePr>
        <xdr:cNvPr id="5" name="Chart 4">
          <a:extLst>
            <a:ext uri="{FF2B5EF4-FFF2-40B4-BE49-F238E27FC236}">
              <a16:creationId xmlns:a16="http://schemas.microsoft.com/office/drawing/2014/main" id="{86337D1B-ECCE-4133-9BDE-194077D34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Padd" refreshedDate="45948.441480671296" createdVersion="8" refreshedVersion="8" minRefreshableVersion="3" recordCount="20" xr:uid="{F224DFB6-A198-4218-92B8-E95D63FBE88C}">
  <cacheSource type="worksheet">
    <worksheetSource name="customers"/>
  </cacheSource>
  <cacheFields count="5">
    <cacheField name="customer_id" numFmtId="0">
      <sharedItems count="20">
        <s v="C001"/>
        <s v="C002"/>
        <s v="C003"/>
        <s v="C004"/>
        <s v="C005"/>
        <s v="C006"/>
        <s v="C007"/>
        <s v="C008"/>
        <s v="C009"/>
        <s v="C010"/>
        <s v="C011"/>
        <s v="C012"/>
        <s v="C013"/>
        <s v="C014"/>
        <s v="C015"/>
        <s v="C016"/>
        <s v="C017"/>
        <s v="C018"/>
        <s v="C019"/>
        <s v="C020"/>
      </sharedItems>
    </cacheField>
    <cacheField name="full_name" numFmtId="0">
      <sharedItems/>
    </cacheField>
    <cacheField name="region" numFmtId="0">
      <sharedItems count="6">
        <s v="Volta"/>
        <s v="Ashanti"/>
        <s v="Bono"/>
        <s v="Northern"/>
        <s v="Greater Accra"/>
        <s v="Western"/>
      </sharedItems>
    </cacheField>
    <cacheField name="age" numFmtId="0">
      <sharedItems containsSemiMixedTypes="0" containsString="0" containsNumber="1" containsInteger="1" minValue="20" maxValue="59"/>
    </cacheField>
    <cacheField name="occupation" numFmtId="0">
      <sharedItems count="6">
        <s v="Student"/>
        <s v="Trader"/>
        <s v="Farmer"/>
        <s v="Engineer"/>
        <s v="Banker"/>
        <s v="Teacher"/>
      </sharedItems>
    </cacheField>
  </cacheFields>
  <extLst>
    <ext xmlns:x14="http://schemas.microsoft.com/office/spreadsheetml/2009/9/main" uri="{725AE2AE-9491-48be-B2B4-4EB974FC3084}">
      <x14:pivotCacheDefinition pivotCacheId="7427256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Padd" refreshedDate="45948.442467361114" createdVersion="8" refreshedVersion="8" minRefreshableVersion="3" recordCount="40" xr:uid="{5AC76ACA-5782-4C17-89B5-EA0C155B719C}">
  <cacheSource type="worksheet">
    <worksheetSource name="transactions"/>
  </cacheSource>
  <cacheFields count="8">
    <cacheField name="trans_id" numFmtId="0">
      <sharedItems/>
    </cacheField>
    <cacheField name="customer_id" numFmtId="0">
      <sharedItems count="15">
        <s v="C004"/>
        <s v="C010"/>
        <s v="C005"/>
        <s v="C009"/>
        <s v="C003"/>
        <s v="C017"/>
        <s v="C016"/>
        <s v="C018"/>
        <s v="C007"/>
        <s v="C012"/>
        <s v="C013"/>
        <s v="C020"/>
        <s v="C019"/>
        <s v="C014"/>
        <s v="C015"/>
      </sharedItems>
    </cacheField>
    <cacheField name="date" numFmtId="14">
      <sharedItems containsSemiMixedTypes="0" containsNonDate="0" containsDate="1" containsString="0" minDate="2024-01-10T00:00:00" maxDate="2025-07-28T00:00:00"/>
    </cacheField>
    <cacheField name="category" numFmtId="0">
      <sharedItems count="7">
        <s v="Groceries"/>
        <s v="Entertainment"/>
        <s v="Transport"/>
        <s v="Healthcare"/>
        <s v="Other"/>
        <s v="Utilities"/>
        <s v="Education"/>
      </sharedItems>
    </cacheField>
    <cacheField name="amount" numFmtId="44">
      <sharedItems containsSemiMixedTypes="0" containsString="0" containsNumber="1" containsInteger="1" minValue="54" maxValue="494"/>
    </cacheField>
    <cacheField name="payment_method" numFmtId="0">
      <sharedItems count="3">
        <s v="Card"/>
        <s v="Cash"/>
        <s v="Mobile Money"/>
      </sharedItems>
    </cacheField>
    <cacheField name="customer_name" numFmtId="0">
      <sharedItems/>
    </cacheField>
    <cacheField name="account_type" numFmtId="0">
      <sharedItems count="2">
        <s v="Current"/>
        <s v="Savings"/>
      </sharedItems>
    </cacheField>
  </cacheFields>
  <extLst>
    <ext xmlns:x14="http://schemas.microsoft.com/office/spreadsheetml/2009/9/main" uri="{725AE2AE-9491-48be-B2B4-4EB974FC3084}">
      <x14:pivotCacheDefinition pivotCacheId="85536291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Padd" refreshedDate="45948.444505208332" createdVersion="8" refreshedVersion="8" minRefreshableVersion="3" recordCount="20" xr:uid="{7CA70DFE-9B72-4DF5-9CA9-EC5B89277C52}">
  <cacheSource type="worksheet">
    <worksheetSource name="accounts"/>
  </cacheSource>
  <cacheFields count="6">
    <cacheField name="account_id" numFmtId="0">
      <sharedItems count="20">
        <s v="A001"/>
        <s v="A002"/>
        <s v="A003"/>
        <s v="A004"/>
        <s v="A005"/>
        <s v="A006"/>
        <s v="A007"/>
        <s v="A008"/>
        <s v="A009"/>
        <s v="A010"/>
        <s v="A011"/>
        <s v="A012"/>
        <s v="A013"/>
        <s v="A014"/>
        <s v="A015"/>
        <s v="A016"/>
        <s v="A017"/>
        <s v="A018"/>
        <s v="A019"/>
        <s v="A020"/>
      </sharedItems>
    </cacheField>
    <cacheField name="customer_id" numFmtId="0">
      <sharedItems/>
    </cacheField>
    <cacheField name="account_type" numFmtId="0">
      <sharedItems count="2">
        <s v="Savings"/>
        <s v="Current"/>
      </sharedItems>
    </cacheField>
    <cacheField name="balance" numFmtId="44">
      <sharedItems containsSemiMixedTypes="0" containsString="0" containsNumber="1" containsInteger="1" minValue="1255" maxValue="8891"/>
    </cacheField>
    <cacheField name="last_update" numFmtId="14">
      <sharedItems containsSemiMixedTypes="0" containsNonDate="0" containsDate="1" containsString="0" minDate="2024-01-29T00:00:00" maxDate="2025-08-18T00:00:00"/>
    </cacheField>
    <cacheField name="account_name" numFmtId="0">
      <sharedItems/>
    </cacheField>
  </cacheFields>
  <extLst>
    <ext xmlns:x14="http://schemas.microsoft.com/office/spreadsheetml/2009/9/main" uri="{725AE2AE-9491-48be-B2B4-4EB974FC3084}">
      <x14:pivotCacheDefinition pivotCacheId="9136689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Kojo Asare"/>
    <x v="0"/>
    <n v="54"/>
    <x v="0"/>
  </r>
  <r>
    <x v="1"/>
    <s v="Kojo Asare"/>
    <x v="1"/>
    <n v="52"/>
    <x v="1"/>
  </r>
  <r>
    <x v="2"/>
    <s v="Afia Darko"/>
    <x v="0"/>
    <n v="52"/>
    <x v="1"/>
  </r>
  <r>
    <x v="3"/>
    <s v="Kojo Darko"/>
    <x v="2"/>
    <n v="56"/>
    <x v="1"/>
  </r>
  <r>
    <x v="4"/>
    <s v="Yaw Mensah"/>
    <x v="1"/>
    <n v="31"/>
    <x v="2"/>
  </r>
  <r>
    <x v="5"/>
    <s v="Adjoa Mensah"/>
    <x v="1"/>
    <n v="22"/>
    <x v="1"/>
  </r>
  <r>
    <x v="6"/>
    <s v="Adjoa Mensah"/>
    <x v="3"/>
    <n v="20"/>
    <x v="3"/>
  </r>
  <r>
    <x v="7"/>
    <s v="Afia Boateng"/>
    <x v="1"/>
    <n v="52"/>
    <x v="4"/>
  </r>
  <r>
    <x v="8"/>
    <s v="Esi Mensah"/>
    <x v="4"/>
    <n v="59"/>
    <x v="5"/>
  </r>
  <r>
    <x v="9"/>
    <s v="Afia Mensah"/>
    <x v="5"/>
    <n v="29"/>
    <x v="1"/>
  </r>
  <r>
    <x v="10"/>
    <s v="Kofi Asare"/>
    <x v="5"/>
    <n v="48"/>
    <x v="0"/>
  </r>
  <r>
    <x v="11"/>
    <s v="Afia Darko"/>
    <x v="0"/>
    <n v="32"/>
    <x v="1"/>
  </r>
  <r>
    <x v="12"/>
    <s v="Kojo Asare"/>
    <x v="2"/>
    <n v="31"/>
    <x v="0"/>
  </r>
  <r>
    <x v="13"/>
    <s v="Kofi Darko"/>
    <x v="1"/>
    <n v="50"/>
    <x v="3"/>
  </r>
  <r>
    <x v="14"/>
    <s v="Adjoa Darko"/>
    <x v="4"/>
    <n v="21"/>
    <x v="0"/>
  </r>
  <r>
    <x v="15"/>
    <s v="Yaw Boateng"/>
    <x v="0"/>
    <n v="54"/>
    <x v="5"/>
  </r>
  <r>
    <x v="16"/>
    <s v="Yaw Asare"/>
    <x v="3"/>
    <n v="42"/>
    <x v="4"/>
  </r>
  <r>
    <x v="17"/>
    <s v="Adjoa Mensah"/>
    <x v="0"/>
    <n v="36"/>
    <x v="0"/>
  </r>
  <r>
    <x v="18"/>
    <s v="Yaw Boateng"/>
    <x v="0"/>
    <n v="45"/>
    <x v="0"/>
  </r>
  <r>
    <x v="19"/>
    <s v="Afia Darko"/>
    <x v="1"/>
    <n v="27"/>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T001"/>
    <x v="0"/>
    <d v="2024-11-05T00:00:00"/>
    <x v="0"/>
    <n v="171"/>
    <x v="0"/>
    <s v="Kojo Darko"/>
    <x v="0"/>
  </r>
  <r>
    <s v="T002"/>
    <x v="1"/>
    <d v="2025-06-25T00:00:00"/>
    <x v="1"/>
    <n v="243"/>
    <x v="1"/>
    <s v="Afia Mensah"/>
    <x v="0"/>
  </r>
  <r>
    <s v="T003"/>
    <x v="2"/>
    <d v="2025-07-21T00:00:00"/>
    <x v="2"/>
    <n v="54"/>
    <x v="0"/>
    <s v="Yaw Mensah"/>
    <x v="0"/>
  </r>
  <r>
    <s v="T004"/>
    <x v="3"/>
    <d v="2024-04-16T00:00:00"/>
    <x v="3"/>
    <n v="78"/>
    <x v="1"/>
    <s v="Esi Mensah"/>
    <x v="0"/>
  </r>
  <r>
    <s v="T005"/>
    <x v="4"/>
    <d v="2024-09-27T00:00:00"/>
    <x v="1"/>
    <n v="214"/>
    <x v="0"/>
    <s v="Afia Darko"/>
    <x v="0"/>
  </r>
  <r>
    <s v="T006"/>
    <x v="5"/>
    <d v="2024-04-19T00:00:00"/>
    <x v="3"/>
    <n v="471"/>
    <x v="2"/>
    <s v="Yaw Asare"/>
    <x v="0"/>
  </r>
  <r>
    <s v="T007"/>
    <x v="4"/>
    <d v="2025-07-20T00:00:00"/>
    <x v="4"/>
    <n v="388"/>
    <x v="0"/>
    <s v="Afia Darko"/>
    <x v="0"/>
  </r>
  <r>
    <s v="T008"/>
    <x v="6"/>
    <d v="2024-10-05T00:00:00"/>
    <x v="0"/>
    <n v="185"/>
    <x v="1"/>
    <s v="Yaw Boateng"/>
    <x v="0"/>
  </r>
  <r>
    <s v="T009"/>
    <x v="0"/>
    <d v="2024-08-03T00:00:00"/>
    <x v="4"/>
    <n v="414"/>
    <x v="0"/>
    <s v="Kojo Darko"/>
    <x v="0"/>
  </r>
  <r>
    <s v="T010"/>
    <x v="7"/>
    <d v="2024-12-17T00:00:00"/>
    <x v="3"/>
    <n v="370"/>
    <x v="0"/>
    <s v="Adjoa Mensah"/>
    <x v="0"/>
  </r>
  <r>
    <s v="T011"/>
    <x v="5"/>
    <d v="2024-09-27T00:00:00"/>
    <x v="3"/>
    <n v="391"/>
    <x v="0"/>
    <s v="Yaw Asare"/>
    <x v="0"/>
  </r>
  <r>
    <s v="T012"/>
    <x v="8"/>
    <d v="2025-05-15T00:00:00"/>
    <x v="5"/>
    <n v="194"/>
    <x v="2"/>
    <s v="Adjoa Mensah"/>
    <x v="0"/>
  </r>
  <r>
    <s v="T013"/>
    <x v="2"/>
    <d v="2024-02-22T00:00:00"/>
    <x v="5"/>
    <n v="376"/>
    <x v="0"/>
    <s v="Yaw Mensah"/>
    <x v="0"/>
  </r>
  <r>
    <s v="T014"/>
    <x v="9"/>
    <d v="2025-03-09T00:00:00"/>
    <x v="4"/>
    <n v="266"/>
    <x v="2"/>
    <s v="Afia Darko"/>
    <x v="1"/>
  </r>
  <r>
    <s v="T015"/>
    <x v="5"/>
    <d v="2024-02-15T00:00:00"/>
    <x v="6"/>
    <n v="350"/>
    <x v="2"/>
    <s v="Yaw Asare"/>
    <x v="0"/>
  </r>
  <r>
    <s v="T016"/>
    <x v="10"/>
    <d v="2024-12-07T00:00:00"/>
    <x v="4"/>
    <n v="181"/>
    <x v="0"/>
    <s v="Kojo Asare"/>
    <x v="0"/>
  </r>
  <r>
    <s v="T017"/>
    <x v="4"/>
    <d v="2024-09-25T00:00:00"/>
    <x v="5"/>
    <n v="341"/>
    <x v="0"/>
    <s v="Afia Darko"/>
    <x v="0"/>
  </r>
  <r>
    <s v="T018"/>
    <x v="3"/>
    <d v="2025-03-28T00:00:00"/>
    <x v="3"/>
    <n v="119"/>
    <x v="0"/>
    <s v="Esi Mensah"/>
    <x v="0"/>
  </r>
  <r>
    <s v="T019"/>
    <x v="5"/>
    <d v="2025-03-13T00:00:00"/>
    <x v="2"/>
    <n v="301"/>
    <x v="1"/>
    <s v="Yaw Asare"/>
    <x v="0"/>
  </r>
  <r>
    <s v="T020"/>
    <x v="5"/>
    <d v="2024-01-10T00:00:00"/>
    <x v="4"/>
    <n v="464"/>
    <x v="0"/>
    <s v="Yaw Asare"/>
    <x v="0"/>
  </r>
  <r>
    <s v="T021"/>
    <x v="11"/>
    <d v="2024-03-18T00:00:00"/>
    <x v="3"/>
    <n v="324"/>
    <x v="2"/>
    <s v="Afia Darko"/>
    <x v="0"/>
  </r>
  <r>
    <s v="T022"/>
    <x v="6"/>
    <d v="2024-06-01T00:00:00"/>
    <x v="2"/>
    <n v="494"/>
    <x v="0"/>
    <s v="Yaw Boateng"/>
    <x v="0"/>
  </r>
  <r>
    <s v="T023"/>
    <x v="10"/>
    <d v="2024-02-06T00:00:00"/>
    <x v="2"/>
    <n v="413"/>
    <x v="1"/>
    <s v="Kojo Asare"/>
    <x v="0"/>
  </r>
  <r>
    <s v="T024"/>
    <x v="12"/>
    <d v="2025-07-19T00:00:00"/>
    <x v="5"/>
    <n v="231"/>
    <x v="0"/>
    <s v="Yaw Boateng"/>
    <x v="0"/>
  </r>
  <r>
    <s v="T025"/>
    <x v="5"/>
    <d v="2025-03-16T00:00:00"/>
    <x v="4"/>
    <n v="216"/>
    <x v="1"/>
    <s v="Yaw Asare"/>
    <x v="0"/>
  </r>
  <r>
    <s v="T026"/>
    <x v="0"/>
    <d v="2024-02-12T00:00:00"/>
    <x v="1"/>
    <n v="140"/>
    <x v="1"/>
    <s v="Kojo Darko"/>
    <x v="0"/>
  </r>
  <r>
    <s v="T027"/>
    <x v="9"/>
    <d v="2025-01-08T00:00:00"/>
    <x v="0"/>
    <n v="251"/>
    <x v="0"/>
    <s v="Afia Darko"/>
    <x v="1"/>
  </r>
  <r>
    <s v="T028"/>
    <x v="3"/>
    <d v="2025-01-01T00:00:00"/>
    <x v="5"/>
    <n v="395"/>
    <x v="2"/>
    <s v="Esi Mensah"/>
    <x v="0"/>
  </r>
  <r>
    <s v="T029"/>
    <x v="12"/>
    <d v="2024-09-12T00:00:00"/>
    <x v="5"/>
    <n v="68"/>
    <x v="1"/>
    <s v="Yaw Boateng"/>
    <x v="0"/>
  </r>
  <r>
    <s v="T030"/>
    <x v="9"/>
    <d v="2024-04-15T00:00:00"/>
    <x v="1"/>
    <n v="88"/>
    <x v="0"/>
    <s v="Afia Darko"/>
    <x v="1"/>
  </r>
  <r>
    <s v="T031"/>
    <x v="3"/>
    <d v="2025-07-27T00:00:00"/>
    <x v="0"/>
    <n v="175"/>
    <x v="0"/>
    <s v="Esi Mensah"/>
    <x v="0"/>
  </r>
  <r>
    <s v="T032"/>
    <x v="8"/>
    <d v="2024-06-07T00:00:00"/>
    <x v="3"/>
    <n v="222"/>
    <x v="2"/>
    <s v="Adjoa Mensah"/>
    <x v="0"/>
  </r>
  <r>
    <s v="T033"/>
    <x v="13"/>
    <d v="2024-06-15T00:00:00"/>
    <x v="6"/>
    <n v="190"/>
    <x v="1"/>
    <s v="Kofi Darko"/>
    <x v="0"/>
  </r>
  <r>
    <s v="T034"/>
    <x v="11"/>
    <d v="2025-02-26T00:00:00"/>
    <x v="4"/>
    <n v="291"/>
    <x v="1"/>
    <s v="Afia Darko"/>
    <x v="0"/>
  </r>
  <r>
    <s v="T035"/>
    <x v="12"/>
    <d v="2024-07-02T00:00:00"/>
    <x v="6"/>
    <n v="269"/>
    <x v="0"/>
    <s v="Yaw Boateng"/>
    <x v="0"/>
  </r>
  <r>
    <s v="T036"/>
    <x v="14"/>
    <d v="2024-12-06T00:00:00"/>
    <x v="3"/>
    <n v="175"/>
    <x v="0"/>
    <s v="Adjoa Darko"/>
    <x v="0"/>
  </r>
  <r>
    <s v="T037"/>
    <x v="6"/>
    <d v="2024-09-11T00:00:00"/>
    <x v="5"/>
    <n v="107"/>
    <x v="2"/>
    <s v="Yaw Boateng"/>
    <x v="0"/>
  </r>
  <r>
    <s v="T038"/>
    <x v="2"/>
    <d v="2024-06-12T00:00:00"/>
    <x v="0"/>
    <n v="197"/>
    <x v="2"/>
    <s v="Yaw Mensah"/>
    <x v="0"/>
  </r>
  <r>
    <s v="T039"/>
    <x v="4"/>
    <d v="2024-04-20T00:00:00"/>
    <x v="5"/>
    <n v="366"/>
    <x v="1"/>
    <s v="Afia Darko"/>
    <x v="0"/>
  </r>
  <r>
    <s v="T040"/>
    <x v="9"/>
    <d v="2024-02-09T00:00:00"/>
    <x v="2"/>
    <n v="432"/>
    <x v="1"/>
    <s v="Afia Darko"/>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C001"/>
    <x v="0"/>
    <n v="1539"/>
    <d v="2024-08-15T00:00:00"/>
    <s v="Kojo Asare"/>
  </r>
  <r>
    <x v="1"/>
    <s v="C002"/>
    <x v="0"/>
    <n v="5964"/>
    <d v="2025-04-16T00:00:00"/>
    <s v="Kojo Asare"/>
  </r>
  <r>
    <x v="2"/>
    <s v="C003"/>
    <x v="1"/>
    <n v="5835"/>
    <d v="2024-11-08T00:00:00"/>
    <s v="Afia Darko"/>
  </r>
  <r>
    <x v="3"/>
    <s v="C004"/>
    <x v="1"/>
    <n v="4775"/>
    <d v="2024-08-16T00:00:00"/>
    <s v="Kojo Darko"/>
  </r>
  <r>
    <x v="4"/>
    <s v="C005"/>
    <x v="1"/>
    <n v="7042"/>
    <d v="2024-07-16T00:00:00"/>
    <s v="Yaw Mensah"/>
  </r>
  <r>
    <x v="5"/>
    <s v="C006"/>
    <x v="1"/>
    <n v="8102"/>
    <d v="2024-12-02T00:00:00"/>
    <s v="Adjoa Mensah"/>
  </r>
  <r>
    <x v="6"/>
    <s v="C007"/>
    <x v="1"/>
    <n v="8312"/>
    <d v="2024-03-12T00:00:00"/>
    <s v="Adjoa Mensah"/>
  </r>
  <r>
    <x v="7"/>
    <s v="C008"/>
    <x v="1"/>
    <n v="6320"/>
    <d v="2024-12-25T00:00:00"/>
    <s v="Afia Boateng"/>
  </r>
  <r>
    <x v="8"/>
    <s v="C009"/>
    <x v="1"/>
    <n v="7132"/>
    <d v="2025-06-05T00:00:00"/>
    <s v="Esi Mensah"/>
  </r>
  <r>
    <x v="9"/>
    <s v="C010"/>
    <x v="1"/>
    <n v="8891"/>
    <d v="2025-07-03T00:00:00"/>
    <s v="Afia Mensah"/>
  </r>
  <r>
    <x v="10"/>
    <s v="C011"/>
    <x v="1"/>
    <n v="3779"/>
    <d v="2024-01-29T00:00:00"/>
    <s v="Kofi Asare"/>
  </r>
  <r>
    <x v="11"/>
    <s v="C012"/>
    <x v="0"/>
    <n v="1924"/>
    <d v="2024-09-24T00:00:00"/>
    <s v="Afia Darko"/>
  </r>
  <r>
    <x v="12"/>
    <s v="C013"/>
    <x v="1"/>
    <n v="2581"/>
    <d v="2025-08-17T00:00:00"/>
    <s v="Kojo Asare"/>
  </r>
  <r>
    <x v="13"/>
    <s v="C014"/>
    <x v="1"/>
    <n v="8714"/>
    <d v="2024-02-09T00:00:00"/>
    <s v="Kofi Darko"/>
  </r>
  <r>
    <x v="14"/>
    <s v="C015"/>
    <x v="1"/>
    <n v="4324"/>
    <d v="2025-03-20T00:00:00"/>
    <s v="Adjoa Darko"/>
  </r>
  <r>
    <x v="15"/>
    <s v="C016"/>
    <x v="1"/>
    <n v="6713"/>
    <d v="2024-11-17T00:00:00"/>
    <s v="Yaw Boateng"/>
  </r>
  <r>
    <x v="16"/>
    <s v="C017"/>
    <x v="1"/>
    <n v="8026"/>
    <d v="2025-06-07T00:00:00"/>
    <s v="Yaw Asare"/>
  </r>
  <r>
    <x v="17"/>
    <s v="C018"/>
    <x v="1"/>
    <n v="1255"/>
    <d v="2025-01-29T00:00:00"/>
    <s v="Adjoa Mensah"/>
  </r>
  <r>
    <x v="18"/>
    <s v="C019"/>
    <x v="1"/>
    <n v="5804"/>
    <d v="2024-07-13T00:00:00"/>
    <s v="Yaw Boateng"/>
  </r>
  <r>
    <x v="19"/>
    <s v="C020"/>
    <x v="1"/>
    <n v="2838"/>
    <d v="2024-02-15T00:00:00"/>
    <s v="Afia Dark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284C26-C08F-43A4-B273-B97026B40BB3}"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2:H23" firstHeaderRow="1" firstDataRow="1" firstDataCol="1"/>
  <pivotFields count="6">
    <pivotField axis="axisRow" showAll="0">
      <items count="21">
        <item x="0"/>
        <item x="1"/>
        <item x="2"/>
        <item x="3"/>
        <item x="4"/>
        <item x="5"/>
        <item x="6"/>
        <item x="7"/>
        <item x="8"/>
        <item x="9"/>
        <item x="10"/>
        <item x="11"/>
        <item x="12"/>
        <item x="13"/>
        <item x="14"/>
        <item x="15"/>
        <item x="16"/>
        <item x="17"/>
        <item x="18"/>
        <item x="19"/>
        <item t="default"/>
      </items>
    </pivotField>
    <pivotField showAll="0"/>
    <pivotField showAll="0">
      <items count="3">
        <item x="1"/>
        <item x="0"/>
        <item t="default"/>
      </items>
    </pivotField>
    <pivotField dataField="1" numFmtId="44" showAll="0"/>
    <pivotField numFmtId="14"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balance" fld="3" baseField="0" baseItem="0" numFmtId="44"/>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3D7BDD-DB73-4B90-A111-10AE6880654C}"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2:G9" firstHeaderRow="1" firstDataRow="1" firstDataCol="1"/>
  <pivotFields count="5">
    <pivotField showAll="0">
      <items count="21">
        <item x="0"/>
        <item x="1"/>
        <item x="2"/>
        <item x="3"/>
        <item x="4"/>
        <item x="5"/>
        <item x="6"/>
        <item x="7"/>
        <item x="8"/>
        <item x="9"/>
        <item x="10"/>
        <item x="11"/>
        <item x="12"/>
        <item x="13"/>
        <item x="14"/>
        <item x="15"/>
        <item x="16"/>
        <item x="17"/>
        <item x="18"/>
        <item x="19"/>
        <item t="default"/>
      </items>
    </pivotField>
    <pivotField showAll="0"/>
    <pivotField dataField="1" showAll="0">
      <items count="7">
        <item x="1"/>
        <item x="2"/>
        <item x="4"/>
        <item x="3"/>
        <item x="0"/>
        <item x="5"/>
        <item t="default"/>
      </items>
    </pivotField>
    <pivotField showAll="0"/>
    <pivotField axis="axisRow" showAll="0">
      <items count="7">
        <item x="4"/>
        <item x="3"/>
        <item x="2"/>
        <item x="0"/>
        <item x="5"/>
        <item x="1"/>
        <item t="default"/>
      </items>
    </pivotField>
  </pivotFields>
  <rowFields count="1">
    <field x="4"/>
  </rowFields>
  <rowItems count="7">
    <i>
      <x/>
    </i>
    <i>
      <x v="1"/>
    </i>
    <i>
      <x v="2"/>
    </i>
    <i>
      <x v="3"/>
    </i>
    <i>
      <x v="4"/>
    </i>
    <i>
      <x v="5"/>
    </i>
    <i t="grand">
      <x/>
    </i>
  </rowItems>
  <colItems count="1">
    <i/>
  </colItems>
  <dataFields count="1">
    <dataField name="Count of region" fld="2" subtotal="count" baseField="0" baseItem="0"/>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9CB21E-FA3E-4BB7-822B-067C89D2C2A8}"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3:J19" firstHeaderRow="1" firstDataRow="1" firstDataCol="1"/>
  <pivotFields count="8">
    <pivotField showAll="0"/>
    <pivotField axis="axisRow" showAll="0">
      <items count="16">
        <item x="4"/>
        <item x="0"/>
        <item x="2"/>
        <item x="8"/>
        <item x="3"/>
        <item x="1"/>
        <item x="9"/>
        <item x="10"/>
        <item x="13"/>
        <item x="14"/>
        <item x="6"/>
        <item x="5"/>
        <item x="7"/>
        <item x="12"/>
        <item x="11"/>
        <item t="default"/>
      </items>
    </pivotField>
    <pivotField numFmtId="14" showAll="0"/>
    <pivotField showAll="0">
      <items count="8">
        <item x="6"/>
        <item x="1"/>
        <item x="0"/>
        <item x="3"/>
        <item x="4"/>
        <item x="2"/>
        <item x="5"/>
        <item t="default"/>
      </items>
    </pivotField>
    <pivotField dataField="1" numFmtId="44" showAll="0"/>
    <pivotField showAll="0">
      <items count="4">
        <item x="0"/>
        <item x="1"/>
        <item x="2"/>
        <item t="default"/>
      </items>
    </pivotField>
    <pivotField showAll="0"/>
    <pivotField showAll="0">
      <items count="3">
        <item x="0"/>
        <item x="1"/>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amount" fld="4" baseField="0" baseItem="0" numFmtId="4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2030B6B-BB74-49ED-A97F-CF76436DBA35}" autoFormatId="16" applyNumberFormats="0" applyBorderFormats="0" applyFontFormats="0" applyPatternFormats="0" applyAlignmentFormats="0" applyWidthHeightFormats="0">
  <queryTableRefresh nextId="7" unboundColumnsRight="1">
    <queryTableFields count="6">
      <queryTableField id="1" name="account_id" tableColumnId="1"/>
      <queryTableField id="2" name="customer_id" tableColumnId="2"/>
      <queryTableField id="3" name="account_type" tableColumnId="3"/>
      <queryTableField id="4" name="balance" tableColumnId="4"/>
      <queryTableField id="5" name="last_update" tableColumnId="5"/>
      <queryTableField id="6" dataBound="0"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2A8FCD12-B73C-4340-B5D8-15D6BB49CD0A}" autoFormatId="16" applyNumberFormats="0" applyBorderFormats="0" applyFontFormats="0" applyPatternFormats="0" applyAlignmentFormats="0" applyWidthHeightFormats="0">
  <queryTableRefresh nextId="6">
    <queryTableFields count="5">
      <queryTableField id="1" name="customer_id" tableColumnId="1"/>
      <queryTableField id="2" name="full_name" tableColumnId="2"/>
      <queryTableField id="3" name="region" tableColumnId="3"/>
      <queryTableField id="4" name="age" tableColumnId="4"/>
      <queryTableField id="5" name="occupation"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E4CFC1C8-7519-4F95-96E8-B4D3A84E359F}" autoFormatId="16" applyNumberFormats="0" applyBorderFormats="0" applyFontFormats="0" applyPatternFormats="0" applyAlignmentFormats="0" applyWidthHeightFormats="0">
  <queryTableRefresh nextId="9" unboundColumnsRight="2">
    <queryTableFields count="8">
      <queryTableField id="1" name="trans_id" tableColumnId="1"/>
      <queryTableField id="2" name="customer_id" tableColumnId="2"/>
      <queryTableField id="3" name="date" tableColumnId="3"/>
      <queryTableField id="4" name="category" tableColumnId="4"/>
      <queryTableField id="5" name="amount" tableColumnId="5"/>
      <queryTableField id="6" name="payment_method" tableColumnId="6"/>
      <queryTableField id="7" dataBound="0" tableColumnId="7"/>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C69A7A2-E2CC-4FA8-A846-2F31C0C89364}" sourceName="payment_method">
  <pivotTables>
    <pivotTable tabId="4" name="PivotTable2"/>
  </pivotTables>
  <data>
    <tabular pivotCacheId="85536291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BC6D7B4-6B40-4172-BAA8-FB92B8B3C0FA}" sourceName="category">
  <pivotTables>
    <pivotTable tabId="4" name="PivotTable2"/>
  </pivotTables>
  <data>
    <tabular pivotCacheId="855362914">
      <items count="7">
        <i x="6" s="1"/>
        <i x="1" s="1"/>
        <i x="0" s="1"/>
        <i x="3" s="1"/>
        <i x="4"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 xr10:uid="{07055D9F-5395-49F8-9FE5-BC924CB48026}" sourceName="account_type">
  <pivotTables>
    <pivotTable tabId="4" name="PivotTable2"/>
  </pivotTables>
  <data>
    <tabular pivotCacheId="85536291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1" xr10:uid="{C7DEF068-6840-42B2-AF70-95CEBFF4DAFF}" sourceName="account_type">
  <pivotTables>
    <pivotTable tabId="2" name="PivotTable3"/>
  </pivotTables>
  <data>
    <tabular pivotCacheId="913668919">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A4847D-BF66-4E5D-B991-3F2FA2AAA980}" sourceName="region">
  <pivotTables>
    <pivotTable tabId="3" name="PivotTable1"/>
  </pivotTables>
  <data>
    <tabular pivotCacheId="742725602">
      <items count="6">
        <i x="1" s="1"/>
        <i x="2" s="1"/>
        <i x="4" s="1"/>
        <i x="3"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_type 1" xr10:uid="{7FE4AD53-3694-4D71-A380-A15AC0985D5F}" cache="Slicer_account_type1" caption="account_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AD079ED-5821-41D0-8A3E-BEFADC915F42}" cache="Slicer_region" caption="region"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710EF31C-3DA9-499A-80F9-9B1FD20A05E3}" cache="Slicer_payment_method" caption="payment_method" rowHeight="257175"/>
  <slicer name="category" xr10:uid="{FDCD4A1A-B8A2-4EDD-816B-EE1E39150BCD}" cache="Slicer_category" caption="category" rowHeight="257175"/>
  <slicer name="account_type" xr10:uid="{992B1CCB-E247-4B3E-8937-936D46412B90}" cache="Slicer_account_type" caption="account_typ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771A50-2ECD-4514-8DDA-1CBBC8ECE471}" name="accounts" displayName="accounts" ref="A1:F21" tableType="queryTable" totalsRowShown="0">
  <autoFilter ref="A1:F21" xr:uid="{AE771A50-2ECD-4514-8DDA-1CBBC8ECE471}"/>
  <tableColumns count="6">
    <tableColumn id="1" xr3:uid="{BFFD483B-2B0D-4D91-9A2C-2153A0203299}" uniqueName="1" name="account_id" queryTableFieldId="1" dataDxfId="15"/>
    <tableColumn id="2" xr3:uid="{B0692840-6ECC-4DF2-A844-61FC9EEB670E}" uniqueName="2" name="customer_id" queryTableFieldId="2" dataDxfId="14"/>
    <tableColumn id="3" xr3:uid="{AFE72363-F2A9-42B4-8CE4-FDEA07C6C6BB}" uniqueName="3" name="account_type" queryTableFieldId="3" dataDxfId="13"/>
    <tableColumn id="4" xr3:uid="{DFF41140-892E-46D6-ABB3-D31478C6030C}" uniqueName="4" name="balance" queryTableFieldId="4" dataCellStyle="Currency"/>
    <tableColumn id="5" xr3:uid="{8C53D00E-2424-4A62-BDE1-A85926C06624}" uniqueName="5" name="last_update" queryTableFieldId="5" dataDxfId="6"/>
    <tableColumn id="6" xr3:uid="{92BD0928-49FE-4CE8-9939-6C31285B9C2E}" uniqueName="6" name="account_name" queryTableFieldId="6" dataDxfId="0">
      <calculatedColumnFormula>VLOOKUP(accounts[[#This Row],[customer_id]],customers[[customer_id]:[full_name]], 2, FALSE)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B7FB52-0937-4B45-9B4E-F9D5B303C33F}" name="customers" displayName="customers" ref="A1:E21" tableType="queryTable" totalsRowShown="0">
  <autoFilter ref="A1:E21" xr:uid="{81B7FB52-0937-4B45-9B4E-F9D5B303C33F}"/>
  <tableColumns count="5">
    <tableColumn id="1" xr3:uid="{E610F1FA-EC90-4DBA-941A-C26799C529F7}" uniqueName="1" name="customer_id" queryTableFieldId="1" dataDxfId="12"/>
    <tableColumn id="2" xr3:uid="{6A2AF291-6CD8-4D01-9B2D-624D13C3D3B9}" uniqueName="2" name="full_name" queryTableFieldId="2" dataDxfId="11"/>
    <tableColumn id="3" xr3:uid="{683611D7-C882-4601-8053-CC01D9859DD5}" uniqueName="3" name="region" queryTableFieldId="3" dataDxfId="10"/>
    <tableColumn id="4" xr3:uid="{D94E7C75-265B-4055-A32E-6D4CFAF0C042}" uniqueName="4" name="age" queryTableFieldId="4"/>
    <tableColumn id="5" xr3:uid="{D13B0EAD-A7C6-4164-887F-8E507794F552}" uniqueName="5" name="occupation" queryTableFieldId="5"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ED409F-44E8-484E-9BE7-E726BE504F4F}" name="transactions" displayName="transactions" ref="A1:H41" tableType="queryTable" totalsRowShown="0">
  <autoFilter ref="A1:H41" xr:uid="{9BED409F-44E8-484E-9BE7-E726BE504F4F}"/>
  <tableColumns count="8">
    <tableColumn id="1" xr3:uid="{EC9BA909-F5F0-4DE5-A4BA-2BD88FD65474}" uniqueName="1" name="trans_id" queryTableFieldId="1" dataDxfId="8"/>
    <tableColumn id="2" xr3:uid="{14E45C13-96B7-4C59-ABA6-FE7C09EE5C6C}" uniqueName="2" name="customer_id" queryTableFieldId="2" dataDxfId="5"/>
    <tableColumn id="3" xr3:uid="{FD90DBD7-BDF9-4FF9-BF31-F86A5E6ED105}" uniqueName="3" name="date" queryTableFieldId="3" dataDxfId="3"/>
    <tableColumn id="4" xr3:uid="{366D882F-F4CE-460E-BF9D-A6D3B3B0CD15}" uniqueName="4" name="category" queryTableFieldId="4" dataDxfId="4"/>
    <tableColumn id="5" xr3:uid="{A642B672-1163-4239-82B6-C71E6035ACC2}" uniqueName="5" name="amount" queryTableFieldId="5" dataCellStyle="Currency"/>
    <tableColumn id="6" xr3:uid="{26A89EC2-49C2-4926-B3B3-4E5325CB94CF}" uniqueName="6" name="payment_method" queryTableFieldId="6" dataDxfId="7"/>
    <tableColumn id="7" xr3:uid="{1F7AF43E-E3D7-46DA-8686-494A4A4E0276}" uniqueName="7" name="customer_name" queryTableFieldId="7" dataDxfId="2">
      <calculatedColumnFormula>VLOOKUP(transactions[[#This Row],[customer_id]],customers[[customer_id]:[full_name]], 2, FALSE)</calculatedColumnFormula>
    </tableColumn>
    <tableColumn id="8" xr3:uid="{8136EC1B-48D8-4B2C-9079-44B7C8797919}" uniqueName="8" name="account_type" queryTableFieldId="8" dataDxfId="1">
      <calculatedColumnFormula>VLOOKUP(transactions[[#This Row],[customer_id]], accounts[[customer_id]:[account_type]], 2, FALSE)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C2CCC-3D0A-4A4E-BBF8-2743B675FC72}">
  <dimension ref="A1:H23"/>
  <sheetViews>
    <sheetView workbookViewId="0">
      <selection activeCell="D1" sqref="D1:D1048576"/>
    </sheetView>
  </sheetViews>
  <sheetFormatPr defaultRowHeight="15" x14ac:dyDescent="0.25"/>
  <cols>
    <col min="1" max="1" width="13" bestFit="1" customWidth="1"/>
    <col min="2" max="2" width="14.42578125" bestFit="1" customWidth="1"/>
    <col min="3" max="3" width="15.42578125" bestFit="1" customWidth="1"/>
    <col min="4" max="4" width="13.28515625" style="3" bestFit="1" customWidth="1"/>
    <col min="5" max="5" width="13.7109375" style="2" bestFit="1" customWidth="1"/>
    <col min="6" max="6" width="14.140625" customWidth="1"/>
    <col min="7" max="7" width="13.42578125" bestFit="1" customWidth="1"/>
    <col min="8" max="8" width="15.5703125" bestFit="1" customWidth="1"/>
  </cols>
  <sheetData>
    <row r="1" spans="1:8" x14ac:dyDescent="0.25">
      <c r="A1" t="s">
        <v>0</v>
      </c>
      <c r="B1" t="s">
        <v>1</v>
      </c>
      <c r="C1" t="s">
        <v>2</v>
      </c>
      <c r="D1" s="3" t="s">
        <v>3</v>
      </c>
      <c r="E1" s="2" t="s">
        <v>4</v>
      </c>
      <c r="F1" t="s">
        <v>131</v>
      </c>
    </row>
    <row r="2" spans="1:8" x14ac:dyDescent="0.25">
      <c r="A2" s="1" t="s">
        <v>5</v>
      </c>
      <c r="B2" s="1" t="s">
        <v>6</v>
      </c>
      <c r="C2" s="1" t="s">
        <v>7</v>
      </c>
      <c r="D2" s="3">
        <v>1539</v>
      </c>
      <c r="E2" s="2">
        <v>45519</v>
      </c>
      <c r="F2" s="1" t="str">
        <f>VLOOKUP(accounts[[#This Row],[customer_id]],customers[[customer_id]:[full_name]], 2, FALSE)</f>
        <v>Kojo Asare</v>
      </c>
      <c r="G2" s="4" t="s">
        <v>133</v>
      </c>
      <c r="H2" t="s">
        <v>137</v>
      </c>
    </row>
    <row r="3" spans="1:8" x14ac:dyDescent="0.25">
      <c r="A3" s="1" t="s">
        <v>8</v>
      </c>
      <c r="B3" s="1" t="s">
        <v>9</v>
      </c>
      <c r="C3" s="1" t="s">
        <v>7</v>
      </c>
      <c r="D3" s="3">
        <v>5964</v>
      </c>
      <c r="E3" s="2">
        <v>45763</v>
      </c>
      <c r="F3" s="1" t="str">
        <f>VLOOKUP(accounts[[#This Row],[customer_id]],customers[[customer_id]:[full_name]], 2, FALSE)</f>
        <v>Kojo Asare</v>
      </c>
      <c r="G3" s="5" t="s">
        <v>5</v>
      </c>
      <c r="H3" s="6">
        <v>1539</v>
      </c>
    </row>
    <row r="4" spans="1:8" x14ac:dyDescent="0.25">
      <c r="A4" s="1" t="s">
        <v>10</v>
      </c>
      <c r="B4" s="1" t="s">
        <v>11</v>
      </c>
      <c r="C4" s="1" t="s">
        <v>12</v>
      </c>
      <c r="D4" s="3">
        <v>5835</v>
      </c>
      <c r="E4" s="2">
        <v>45604</v>
      </c>
      <c r="F4" s="1" t="str">
        <f>VLOOKUP(accounts[[#This Row],[customer_id]],customers[[customer_id]:[full_name]], 2, FALSE)</f>
        <v>Afia Darko</v>
      </c>
      <c r="G4" s="5" t="s">
        <v>8</v>
      </c>
      <c r="H4" s="6">
        <v>5964</v>
      </c>
    </row>
    <row r="5" spans="1:8" x14ac:dyDescent="0.25">
      <c r="A5" s="1" t="s">
        <v>13</v>
      </c>
      <c r="B5" s="1" t="s">
        <v>14</v>
      </c>
      <c r="C5" s="1" t="s">
        <v>12</v>
      </c>
      <c r="D5" s="3">
        <v>4775</v>
      </c>
      <c r="E5" s="2">
        <v>45520</v>
      </c>
      <c r="F5" s="1" t="str">
        <f>VLOOKUP(accounts[[#This Row],[customer_id]],customers[[customer_id]:[full_name]], 2, FALSE)</f>
        <v>Kojo Darko</v>
      </c>
      <c r="G5" s="5" t="s">
        <v>10</v>
      </c>
      <c r="H5" s="6">
        <v>5835</v>
      </c>
    </row>
    <row r="6" spans="1:8" x14ac:dyDescent="0.25">
      <c r="A6" s="1" t="s">
        <v>15</v>
      </c>
      <c r="B6" s="1" t="s">
        <v>16</v>
      </c>
      <c r="C6" s="1" t="s">
        <v>12</v>
      </c>
      <c r="D6" s="3">
        <v>7042</v>
      </c>
      <c r="E6" s="2">
        <v>45489</v>
      </c>
      <c r="F6" s="1" t="str">
        <f>VLOOKUP(accounts[[#This Row],[customer_id]],customers[[customer_id]:[full_name]], 2, FALSE)</f>
        <v>Yaw Mensah</v>
      </c>
      <c r="G6" s="5" t="s">
        <v>13</v>
      </c>
      <c r="H6" s="6">
        <v>4775</v>
      </c>
    </row>
    <row r="7" spans="1:8" x14ac:dyDescent="0.25">
      <c r="A7" s="1" t="s">
        <v>17</v>
      </c>
      <c r="B7" s="1" t="s">
        <v>18</v>
      </c>
      <c r="C7" s="1" t="s">
        <v>12</v>
      </c>
      <c r="D7" s="3">
        <v>8102</v>
      </c>
      <c r="E7" s="2">
        <v>45628</v>
      </c>
      <c r="F7" s="1" t="str">
        <f>VLOOKUP(accounts[[#This Row],[customer_id]],customers[[customer_id]:[full_name]], 2, FALSE)</f>
        <v>Adjoa Mensah</v>
      </c>
      <c r="G7" s="5" t="s">
        <v>15</v>
      </c>
      <c r="H7" s="6">
        <v>7042</v>
      </c>
    </row>
    <row r="8" spans="1:8" x14ac:dyDescent="0.25">
      <c r="A8" s="1" t="s">
        <v>19</v>
      </c>
      <c r="B8" s="1" t="s">
        <v>20</v>
      </c>
      <c r="C8" s="1" t="s">
        <v>12</v>
      </c>
      <c r="D8" s="3">
        <v>8312</v>
      </c>
      <c r="E8" s="2">
        <v>45363</v>
      </c>
      <c r="F8" s="1" t="str">
        <f>VLOOKUP(accounts[[#This Row],[customer_id]],customers[[customer_id]:[full_name]], 2, FALSE)</f>
        <v>Adjoa Mensah</v>
      </c>
      <c r="G8" s="5" t="s">
        <v>17</v>
      </c>
      <c r="H8" s="6">
        <v>8102</v>
      </c>
    </row>
    <row r="9" spans="1:8" x14ac:dyDescent="0.25">
      <c r="A9" s="1" t="s">
        <v>21</v>
      </c>
      <c r="B9" s="1" t="s">
        <v>22</v>
      </c>
      <c r="C9" s="1" t="s">
        <v>12</v>
      </c>
      <c r="D9" s="3">
        <v>6320</v>
      </c>
      <c r="E9" s="2">
        <v>45651</v>
      </c>
      <c r="F9" s="1" t="str">
        <f>VLOOKUP(accounts[[#This Row],[customer_id]],customers[[customer_id]:[full_name]], 2, FALSE)</f>
        <v>Afia Boateng</v>
      </c>
      <c r="G9" s="5" t="s">
        <v>19</v>
      </c>
      <c r="H9" s="6">
        <v>8312</v>
      </c>
    </row>
    <row r="10" spans="1:8" x14ac:dyDescent="0.25">
      <c r="A10" s="1" t="s">
        <v>23</v>
      </c>
      <c r="B10" s="1" t="s">
        <v>24</v>
      </c>
      <c r="C10" s="1" t="s">
        <v>12</v>
      </c>
      <c r="D10" s="3">
        <v>7132</v>
      </c>
      <c r="E10" s="2">
        <v>45813</v>
      </c>
      <c r="F10" s="1" t="str">
        <f>VLOOKUP(accounts[[#This Row],[customer_id]],customers[[customer_id]:[full_name]], 2, FALSE)</f>
        <v>Esi Mensah</v>
      </c>
      <c r="G10" s="5" t="s">
        <v>21</v>
      </c>
      <c r="H10" s="6">
        <v>6320</v>
      </c>
    </row>
    <row r="11" spans="1:8" x14ac:dyDescent="0.25">
      <c r="A11" s="1" t="s">
        <v>25</v>
      </c>
      <c r="B11" s="1" t="s">
        <v>26</v>
      </c>
      <c r="C11" s="1" t="s">
        <v>12</v>
      </c>
      <c r="D11" s="3">
        <v>8891</v>
      </c>
      <c r="E11" s="2">
        <v>45841</v>
      </c>
      <c r="F11" s="1" t="str">
        <f>VLOOKUP(accounts[[#This Row],[customer_id]],customers[[customer_id]:[full_name]], 2, FALSE)</f>
        <v>Afia Mensah</v>
      </c>
      <c r="G11" s="5" t="s">
        <v>23</v>
      </c>
      <c r="H11" s="6">
        <v>7132</v>
      </c>
    </row>
    <row r="12" spans="1:8" x14ac:dyDescent="0.25">
      <c r="A12" s="1" t="s">
        <v>27</v>
      </c>
      <c r="B12" s="1" t="s">
        <v>28</v>
      </c>
      <c r="C12" s="1" t="s">
        <v>12</v>
      </c>
      <c r="D12" s="3">
        <v>3779</v>
      </c>
      <c r="E12" s="2">
        <v>45320</v>
      </c>
      <c r="F12" s="1" t="str">
        <f>VLOOKUP(accounts[[#This Row],[customer_id]],customers[[customer_id]:[full_name]], 2, FALSE)</f>
        <v>Kofi Asare</v>
      </c>
      <c r="G12" s="5" t="s">
        <v>25</v>
      </c>
      <c r="H12" s="6">
        <v>8891</v>
      </c>
    </row>
    <row r="13" spans="1:8" x14ac:dyDescent="0.25">
      <c r="A13" s="1" t="s">
        <v>29</v>
      </c>
      <c r="B13" s="1" t="s">
        <v>30</v>
      </c>
      <c r="C13" s="1" t="s">
        <v>7</v>
      </c>
      <c r="D13" s="3">
        <v>1924</v>
      </c>
      <c r="E13" s="2">
        <v>45559</v>
      </c>
      <c r="F13" s="1" t="str">
        <f>VLOOKUP(accounts[[#This Row],[customer_id]],customers[[customer_id]:[full_name]], 2, FALSE)</f>
        <v>Afia Darko</v>
      </c>
      <c r="G13" s="5" t="s">
        <v>27</v>
      </c>
      <c r="H13" s="6">
        <v>3779</v>
      </c>
    </row>
    <row r="14" spans="1:8" x14ac:dyDescent="0.25">
      <c r="A14" s="1" t="s">
        <v>31</v>
      </c>
      <c r="B14" s="1" t="s">
        <v>32</v>
      </c>
      <c r="C14" s="1" t="s">
        <v>12</v>
      </c>
      <c r="D14" s="3">
        <v>2581</v>
      </c>
      <c r="E14" s="2">
        <v>45886</v>
      </c>
      <c r="F14" s="1" t="str">
        <f>VLOOKUP(accounts[[#This Row],[customer_id]],customers[[customer_id]:[full_name]], 2, FALSE)</f>
        <v>Kojo Asare</v>
      </c>
      <c r="G14" s="5" t="s">
        <v>29</v>
      </c>
      <c r="H14" s="6">
        <v>1924</v>
      </c>
    </row>
    <row r="15" spans="1:8" x14ac:dyDescent="0.25">
      <c r="A15" s="1" t="s">
        <v>33</v>
      </c>
      <c r="B15" s="1" t="s">
        <v>34</v>
      </c>
      <c r="C15" s="1" t="s">
        <v>12</v>
      </c>
      <c r="D15" s="3">
        <v>8714</v>
      </c>
      <c r="E15" s="2">
        <v>45331</v>
      </c>
      <c r="F15" s="1" t="str">
        <f>VLOOKUP(accounts[[#This Row],[customer_id]],customers[[customer_id]:[full_name]], 2, FALSE)</f>
        <v>Kofi Darko</v>
      </c>
      <c r="G15" s="5" t="s">
        <v>31</v>
      </c>
      <c r="H15" s="6">
        <v>2581</v>
      </c>
    </row>
    <row r="16" spans="1:8" x14ac:dyDescent="0.25">
      <c r="A16" s="1" t="s">
        <v>35</v>
      </c>
      <c r="B16" s="1" t="s">
        <v>36</v>
      </c>
      <c r="C16" s="1" t="s">
        <v>12</v>
      </c>
      <c r="D16" s="3">
        <v>4324</v>
      </c>
      <c r="E16" s="2">
        <v>45736</v>
      </c>
      <c r="F16" s="1" t="str">
        <f>VLOOKUP(accounts[[#This Row],[customer_id]],customers[[customer_id]:[full_name]], 2, FALSE)</f>
        <v>Adjoa Darko</v>
      </c>
      <c r="G16" s="5" t="s">
        <v>33</v>
      </c>
      <c r="H16" s="6">
        <v>8714</v>
      </c>
    </row>
    <row r="17" spans="1:8" x14ac:dyDescent="0.25">
      <c r="A17" s="1" t="s">
        <v>37</v>
      </c>
      <c r="B17" s="1" t="s">
        <v>38</v>
      </c>
      <c r="C17" s="1" t="s">
        <v>12</v>
      </c>
      <c r="D17" s="3">
        <v>6713</v>
      </c>
      <c r="E17" s="2">
        <v>45613</v>
      </c>
      <c r="F17" s="1" t="str">
        <f>VLOOKUP(accounts[[#This Row],[customer_id]],customers[[customer_id]:[full_name]], 2, FALSE)</f>
        <v>Yaw Boateng</v>
      </c>
      <c r="G17" s="5" t="s">
        <v>35</v>
      </c>
      <c r="H17" s="6">
        <v>4324</v>
      </c>
    </row>
    <row r="18" spans="1:8" x14ac:dyDescent="0.25">
      <c r="A18" s="1" t="s">
        <v>39</v>
      </c>
      <c r="B18" s="1" t="s">
        <v>40</v>
      </c>
      <c r="C18" s="1" t="s">
        <v>12</v>
      </c>
      <c r="D18" s="3">
        <v>8026</v>
      </c>
      <c r="E18" s="2">
        <v>45815</v>
      </c>
      <c r="F18" s="1" t="str">
        <f>VLOOKUP(accounts[[#This Row],[customer_id]],customers[[customer_id]:[full_name]], 2, FALSE)</f>
        <v>Yaw Asare</v>
      </c>
      <c r="G18" s="5" t="s">
        <v>37</v>
      </c>
      <c r="H18" s="6">
        <v>6713</v>
      </c>
    </row>
    <row r="19" spans="1:8" x14ac:dyDescent="0.25">
      <c r="A19" s="1" t="s">
        <v>41</v>
      </c>
      <c r="B19" s="1" t="s">
        <v>42</v>
      </c>
      <c r="C19" s="1" t="s">
        <v>12</v>
      </c>
      <c r="D19" s="3">
        <v>1255</v>
      </c>
      <c r="E19" s="2">
        <v>45686</v>
      </c>
      <c r="F19" s="1" t="str">
        <f>VLOOKUP(accounts[[#This Row],[customer_id]],customers[[customer_id]:[full_name]], 2, FALSE)</f>
        <v>Adjoa Mensah</v>
      </c>
      <c r="G19" s="5" t="s">
        <v>39</v>
      </c>
      <c r="H19" s="6">
        <v>8026</v>
      </c>
    </row>
    <row r="20" spans="1:8" x14ac:dyDescent="0.25">
      <c r="A20" s="1" t="s">
        <v>43</v>
      </c>
      <c r="B20" s="1" t="s">
        <v>44</v>
      </c>
      <c r="C20" s="1" t="s">
        <v>12</v>
      </c>
      <c r="D20" s="3">
        <v>5804</v>
      </c>
      <c r="E20" s="2">
        <v>45486</v>
      </c>
      <c r="F20" s="1" t="str">
        <f>VLOOKUP(accounts[[#This Row],[customer_id]],customers[[customer_id]:[full_name]], 2, FALSE)</f>
        <v>Yaw Boateng</v>
      </c>
      <c r="G20" s="5" t="s">
        <v>41</v>
      </c>
      <c r="H20" s="6">
        <v>1255</v>
      </c>
    </row>
    <row r="21" spans="1:8" x14ac:dyDescent="0.25">
      <c r="A21" s="1" t="s">
        <v>45</v>
      </c>
      <c r="B21" s="1" t="s">
        <v>46</v>
      </c>
      <c r="C21" s="1" t="s">
        <v>12</v>
      </c>
      <c r="D21" s="3">
        <v>2838</v>
      </c>
      <c r="E21" s="2">
        <v>45337</v>
      </c>
      <c r="F21" s="1" t="str">
        <f>VLOOKUP(accounts[[#This Row],[customer_id]],customers[[customer_id]:[full_name]], 2, FALSE)</f>
        <v>Afia Darko</v>
      </c>
      <c r="G21" s="5" t="s">
        <v>43</v>
      </c>
      <c r="H21" s="6">
        <v>5804</v>
      </c>
    </row>
    <row r="22" spans="1:8" x14ac:dyDescent="0.25">
      <c r="G22" s="5" t="s">
        <v>45</v>
      </c>
      <c r="H22" s="6">
        <v>2838</v>
      </c>
    </row>
    <row r="23" spans="1:8" x14ac:dyDescent="0.25">
      <c r="G23" s="5" t="s">
        <v>134</v>
      </c>
      <c r="H23" s="6">
        <v>109870</v>
      </c>
    </row>
  </sheetData>
  <conditionalFormatting sqref="D1:D1048576">
    <cfRule type="colorScale" priority="1">
      <colorScale>
        <cfvo type="min"/>
        <cfvo type="max"/>
        <color rgb="FFFCFCFF"/>
        <color rgb="FF63BE7B"/>
      </colorScale>
    </cfRule>
  </conditionalFormatting>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81DD7-B0C5-47A7-AA15-0C9E01CC2E94}">
  <dimension ref="A1:G21"/>
  <sheetViews>
    <sheetView workbookViewId="0">
      <selection activeCell="F6" sqref="F6"/>
    </sheetView>
  </sheetViews>
  <sheetFormatPr defaultRowHeight="15" x14ac:dyDescent="0.25"/>
  <cols>
    <col min="1" max="1" width="14.42578125" bestFit="1" customWidth="1"/>
    <col min="2" max="2" width="13.7109375" bestFit="1" customWidth="1"/>
    <col min="3" max="3" width="12.85546875" bestFit="1" customWidth="1"/>
    <col min="4" max="4" width="6.42578125" bestFit="1" customWidth="1"/>
    <col min="5" max="5" width="13.28515625" bestFit="1" customWidth="1"/>
    <col min="6" max="6" width="13.42578125" bestFit="1" customWidth="1"/>
    <col min="7" max="7" width="15.140625" bestFit="1" customWidth="1"/>
  </cols>
  <sheetData>
    <row r="1" spans="1:7" x14ac:dyDescent="0.25">
      <c r="A1" t="s">
        <v>1</v>
      </c>
      <c r="B1" t="s">
        <v>47</v>
      </c>
      <c r="C1" t="s">
        <v>48</v>
      </c>
      <c r="D1" t="s">
        <v>49</v>
      </c>
      <c r="E1" t="s">
        <v>50</v>
      </c>
    </row>
    <row r="2" spans="1:7" x14ac:dyDescent="0.25">
      <c r="A2" s="1" t="s">
        <v>6</v>
      </c>
      <c r="B2" s="1" t="s">
        <v>51</v>
      </c>
      <c r="C2" s="1" t="s">
        <v>52</v>
      </c>
      <c r="D2">
        <v>54</v>
      </c>
      <c r="E2" s="1" t="s">
        <v>53</v>
      </c>
      <c r="F2" s="4" t="s">
        <v>133</v>
      </c>
      <c r="G2" t="s">
        <v>135</v>
      </c>
    </row>
    <row r="3" spans="1:7" x14ac:dyDescent="0.25">
      <c r="A3" s="1" t="s">
        <v>9</v>
      </c>
      <c r="B3" s="1" t="s">
        <v>51</v>
      </c>
      <c r="C3" s="1" t="s">
        <v>54</v>
      </c>
      <c r="D3">
        <v>52</v>
      </c>
      <c r="E3" s="1" t="s">
        <v>55</v>
      </c>
      <c r="F3" s="5" t="s">
        <v>65</v>
      </c>
      <c r="G3" s="1">
        <v>3</v>
      </c>
    </row>
    <row r="4" spans="1:7" x14ac:dyDescent="0.25">
      <c r="A4" s="1" t="s">
        <v>11</v>
      </c>
      <c r="B4" s="1" t="s">
        <v>56</v>
      </c>
      <c r="C4" s="1" t="s">
        <v>52</v>
      </c>
      <c r="D4">
        <v>52</v>
      </c>
      <c r="E4" s="1" t="s">
        <v>55</v>
      </c>
      <c r="F4" s="5" t="s">
        <v>63</v>
      </c>
      <c r="G4" s="1">
        <v>2</v>
      </c>
    </row>
    <row r="5" spans="1:7" x14ac:dyDescent="0.25">
      <c r="A5" s="1" t="s">
        <v>14</v>
      </c>
      <c r="B5" s="1" t="s">
        <v>57</v>
      </c>
      <c r="C5" s="1" t="s">
        <v>58</v>
      </c>
      <c r="D5">
        <v>56</v>
      </c>
      <c r="E5" s="1" t="s">
        <v>55</v>
      </c>
      <c r="F5" s="5" t="s">
        <v>60</v>
      </c>
      <c r="G5" s="1">
        <v>1</v>
      </c>
    </row>
    <row r="6" spans="1:7" x14ac:dyDescent="0.25">
      <c r="A6" s="1" t="s">
        <v>16</v>
      </c>
      <c r="B6" s="1" t="s">
        <v>59</v>
      </c>
      <c r="C6" s="1" t="s">
        <v>54</v>
      </c>
      <c r="D6">
        <v>31</v>
      </c>
      <c r="E6" s="1" t="s">
        <v>60</v>
      </c>
      <c r="F6" s="5" t="s">
        <v>53</v>
      </c>
      <c r="G6" s="1">
        <v>6</v>
      </c>
    </row>
    <row r="7" spans="1:7" x14ac:dyDescent="0.25">
      <c r="A7" s="1" t="s">
        <v>18</v>
      </c>
      <c r="B7" s="1" t="s">
        <v>61</v>
      </c>
      <c r="C7" s="1" t="s">
        <v>54</v>
      </c>
      <c r="D7">
        <v>22</v>
      </c>
      <c r="E7" s="1" t="s">
        <v>55</v>
      </c>
      <c r="F7" s="5" t="s">
        <v>68</v>
      </c>
      <c r="G7" s="1">
        <v>2</v>
      </c>
    </row>
    <row r="8" spans="1:7" x14ac:dyDescent="0.25">
      <c r="A8" s="1" t="s">
        <v>20</v>
      </c>
      <c r="B8" s="1" t="s">
        <v>61</v>
      </c>
      <c r="C8" s="1" t="s">
        <v>62</v>
      </c>
      <c r="D8">
        <v>20</v>
      </c>
      <c r="E8" s="1" t="s">
        <v>63</v>
      </c>
      <c r="F8" s="5" t="s">
        <v>55</v>
      </c>
      <c r="G8" s="1">
        <v>6</v>
      </c>
    </row>
    <row r="9" spans="1:7" x14ac:dyDescent="0.25">
      <c r="A9" s="1" t="s">
        <v>22</v>
      </c>
      <c r="B9" s="1" t="s">
        <v>64</v>
      </c>
      <c r="C9" s="1" t="s">
        <v>54</v>
      </c>
      <c r="D9">
        <v>52</v>
      </c>
      <c r="E9" s="1" t="s">
        <v>65</v>
      </c>
      <c r="F9" s="5" t="s">
        <v>134</v>
      </c>
      <c r="G9" s="1">
        <v>20</v>
      </c>
    </row>
    <row r="10" spans="1:7" x14ac:dyDescent="0.25">
      <c r="A10" s="1" t="s">
        <v>24</v>
      </c>
      <c r="B10" s="1" t="s">
        <v>66</v>
      </c>
      <c r="C10" s="1" t="s">
        <v>67</v>
      </c>
      <c r="D10">
        <v>59</v>
      </c>
      <c r="E10" s="1" t="s">
        <v>68</v>
      </c>
    </row>
    <row r="11" spans="1:7" x14ac:dyDescent="0.25">
      <c r="A11" s="1" t="s">
        <v>26</v>
      </c>
      <c r="B11" s="1" t="s">
        <v>69</v>
      </c>
      <c r="C11" s="1" t="s">
        <v>70</v>
      </c>
      <c r="D11">
        <v>29</v>
      </c>
      <c r="E11" s="1" t="s">
        <v>55</v>
      </c>
    </row>
    <row r="12" spans="1:7" x14ac:dyDescent="0.25">
      <c r="A12" s="1" t="s">
        <v>28</v>
      </c>
      <c r="B12" s="1" t="s">
        <v>71</v>
      </c>
      <c r="C12" s="1" t="s">
        <v>70</v>
      </c>
      <c r="D12">
        <v>48</v>
      </c>
      <c r="E12" s="1" t="s">
        <v>53</v>
      </c>
    </row>
    <row r="13" spans="1:7" x14ac:dyDescent="0.25">
      <c r="A13" s="1" t="s">
        <v>30</v>
      </c>
      <c r="B13" s="1" t="s">
        <v>56</v>
      </c>
      <c r="C13" s="1" t="s">
        <v>52</v>
      </c>
      <c r="D13">
        <v>32</v>
      </c>
      <c r="E13" s="1" t="s">
        <v>55</v>
      </c>
    </row>
    <row r="14" spans="1:7" x14ac:dyDescent="0.25">
      <c r="A14" s="1" t="s">
        <v>32</v>
      </c>
      <c r="B14" s="1" t="s">
        <v>51</v>
      </c>
      <c r="C14" s="1" t="s">
        <v>58</v>
      </c>
      <c r="D14">
        <v>31</v>
      </c>
      <c r="E14" s="1" t="s">
        <v>53</v>
      </c>
    </row>
    <row r="15" spans="1:7" x14ac:dyDescent="0.25">
      <c r="A15" s="1" t="s">
        <v>34</v>
      </c>
      <c r="B15" s="1" t="s">
        <v>72</v>
      </c>
      <c r="C15" s="1" t="s">
        <v>54</v>
      </c>
      <c r="D15">
        <v>50</v>
      </c>
      <c r="E15" s="1" t="s">
        <v>63</v>
      </c>
    </row>
    <row r="16" spans="1:7" x14ac:dyDescent="0.25">
      <c r="A16" s="1" t="s">
        <v>36</v>
      </c>
      <c r="B16" s="1" t="s">
        <v>73</v>
      </c>
      <c r="C16" s="1" t="s">
        <v>67</v>
      </c>
      <c r="D16">
        <v>21</v>
      </c>
      <c r="E16" s="1" t="s">
        <v>53</v>
      </c>
    </row>
    <row r="17" spans="1:5" x14ac:dyDescent="0.25">
      <c r="A17" s="1" t="s">
        <v>38</v>
      </c>
      <c r="B17" s="1" t="s">
        <v>74</v>
      </c>
      <c r="C17" s="1" t="s">
        <v>52</v>
      </c>
      <c r="D17">
        <v>54</v>
      </c>
      <c r="E17" s="1" t="s">
        <v>68</v>
      </c>
    </row>
    <row r="18" spans="1:5" x14ac:dyDescent="0.25">
      <c r="A18" s="1" t="s">
        <v>40</v>
      </c>
      <c r="B18" s="1" t="s">
        <v>75</v>
      </c>
      <c r="C18" s="1" t="s">
        <v>62</v>
      </c>
      <c r="D18">
        <v>42</v>
      </c>
      <c r="E18" s="1" t="s">
        <v>65</v>
      </c>
    </row>
    <row r="19" spans="1:5" x14ac:dyDescent="0.25">
      <c r="A19" s="1" t="s">
        <v>42</v>
      </c>
      <c r="B19" s="1" t="s">
        <v>61</v>
      </c>
      <c r="C19" s="1" t="s">
        <v>52</v>
      </c>
      <c r="D19">
        <v>36</v>
      </c>
      <c r="E19" s="1" t="s">
        <v>53</v>
      </c>
    </row>
    <row r="20" spans="1:5" x14ac:dyDescent="0.25">
      <c r="A20" s="1" t="s">
        <v>44</v>
      </c>
      <c r="B20" s="1" t="s">
        <v>74</v>
      </c>
      <c r="C20" s="1" t="s">
        <v>52</v>
      </c>
      <c r="D20">
        <v>45</v>
      </c>
      <c r="E20" s="1" t="s">
        <v>53</v>
      </c>
    </row>
    <row r="21" spans="1:5" x14ac:dyDescent="0.25">
      <c r="A21" s="1" t="s">
        <v>46</v>
      </c>
      <c r="B21" s="1" t="s">
        <v>56</v>
      </c>
      <c r="C21" s="1" t="s">
        <v>54</v>
      </c>
      <c r="D21">
        <v>27</v>
      </c>
      <c r="E21" s="1" t="s">
        <v>65</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35927-BEFF-4C29-BFC7-C65B94575CB6}">
  <dimension ref="A1:J41"/>
  <sheetViews>
    <sheetView tabSelected="1" workbookViewId="0">
      <selection activeCell="E1" sqref="E1:E1048576"/>
    </sheetView>
  </sheetViews>
  <sheetFormatPr defaultRowHeight="15" x14ac:dyDescent="0.25"/>
  <cols>
    <col min="1" max="1" width="10.42578125" bestFit="1" customWidth="1"/>
    <col min="2" max="2" width="14.42578125" bestFit="1" customWidth="1"/>
    <col min="3" max="3" width="10.42578125" style="2" bestFit="1" customWidth="1"/>
    <col min="4" max="4" width="13.42578125" bestFit="1" customWidth="1"/>
    <col min="5" max="5" width="11.5703125" style="3" bestFit="1" customWidth="1"/>
    <col min="6" max="6" width="19.140625" bestFit="1" customWidth="1"/>
    <col min="7" max="7" width="13.140625" customWidth="1"/>
    <col min="9" max="9" width="13.42578125" bestFit="1" customWidth="1"/>
    <col min="10" max="10" width="14.7109375" bestFit="1" customWidth="1"/>
  </cols>
  <sheetData>
    <row r="1" spans="1:10" x14ac:dyDescent="0.25">
      <c r="A1" t="s">
        <v>76</v>
      </c>
      <c r="B1" t="s">
        <v>1</v>
      </c>
      <c r="C1" s="2" t="s">
        <v>77</v>
      </c>
      <c r="D1" t="s">
        <v>78</v>
      </c>
      <c r="E1" s="3" t="s">
        <v>79</v>
      </c>
      <c r="F1" t="s">
        <v>80</v>
      </c>
      <c r="G1" t="s">
        <v>132</v>
      </c>
      <c r="H1" t="s">
        <v>2</v>
      </c>
    </row>
    <row r="2" spans="1:10" x14ac:dyDescent="0.25">
      <c r="A2" s="1" t="s">
        <v>81</v>
      </c>
      <c r="B2" s="1" t="s">
        <v>14</v>
      </c>
      <c r="C2" s="2">
        <v>45601</v>
      </c>
      <c r="D2" s="1" t="s">
        <v>82</v>
      </c>
      <c r="E2" s="3">
        <v>171</v>
      </c>
      <c r="F2" s="1" t="s">
        <v>83</v>
      </c>
      <c r="G2" s="1" t="str">
        <f>VLOOKUP(transactions[[#This Row],[customer_id]],customers[[customer_id]:[full_name]], 2, FALSE)</f>
        <v>Kojo Darko</v>
      </c>
      <c r="H2" s="1" t="str">
        <f>VLOOKUP(transactions[[#This Row],[customer_id]], accounts[[customer_id]:[account_type]], 2, FALSE)</f>
        <v>Current</v>
      </c>
    </row>
    <row r="3" spans="1:10" x14ac:dyDescent="0.25">
      <c r="A3" s="1" t="s">
        <v>84</v>
      </c>
      <c r="B3" s="1" t="s">
        <v>26</v>
      </c>
      <c r="C3" s="2">
        <v>45833</v>
      </c>
      <c r="D3" s="1" t="s">
        <v>85</v>
      </c>
      <c r="E3" s="3">
        <v>243</v>
      </c>
      <c r="F3" s="1" t="s">
        <v>86</v>
      </c>
      <c r="G3" s="1" t="str">
        <f>VLOOKUP(transactions[[#This Row],[customer_id]],customers[[customer_id]:[full_name]], 2, FALSE)</f>
        <v>Afia Mensah</v>
      </c>
      <c r="H3" s="1" t="str">
        <f>VLOOKUP(transactions[[#This Row],[customer_id]], accounts[[customer_id]:[account_type]], 2, FALSE)</f>
        <v>Current</v>
      </c>
      <c r="I3" s="4" t="s">
        <v>133</v>
      </c>
      <c r="J3" t="s">
        <v>136</v>
      </c>
    </row>
    <row r="4" spans="1:10" x14ac:dyDescent="0.25">
      <c r="A4" s="1" t="s">
        <v>87</v>
      </c>
      <c r="B4" s="1" t="s">
        <v>16</v>
      </c>
      <c r="C4" s="2">
        <v>45859</v>
      </c>
      <c r="D4" s="1" t="s">
        <v>88</v>
      </c>
      <c r="E4" s="3">
        <v>54</v>
      </c>
      <c r="F4" s="1" t="s">
        <v>83</v>
      </c>
      <c r="G4" s="1" t="str">
        <f>VLOOKUP(transactions[[#This Row],[customer_id]],customers[[customer_id]:[full_name]], 2, FALSE)</f>
        <v>Yaw Mensah</v>
      </c>
      <c r="H4" s="1" t="str">
        <f>VLOOKUP(transactions[[#This Row],[customer_id]], accounts[[customer_id]:[account_type]], 2, FALSE)</f>
        <v>Current</v>
      </c>
      <c r="I4" s="5" t="s">
        <v>11</v>
      </c>
      <c r="J4" s="6">
        <v>1309</v>
      </c>
    </row>
    <row r="5" spans="1:10" x14ac:dyDescent="0.25">
      <c r="A5" s="1" t="s">
        <v>89</v>
      </c>
      <c r="B5" s="1" t="s">
        <v>24</v>
      </c>
      <c r="C5" s="2">
        <v>45398</v>
      </c>
      <c r="D5" s="1" t="s">
        <v>90</v>
      </c>
      <c r="E5" s="3">
        <v>78</v>
      </c>
      <c r="F5" s="1" t="s">
        <v>86</v>
      </c>
      <c r="G5" s="1" t="str">
        <f>VLOOKUP(transactions[[#This Row],[customer_id]],customers[[customer_id]:[full_name]], 2, FALSE)</f>
        <v>Esi Mensah</v>
      </c>
      <c r="H5" s="1" t="str">
        <f>VLOOKUP(transactions[[#This Row],[customer_id]], accounts[[customer_id]:[account_type]], 2, FALSE)</f>
        <v>Current</v>
      </c>
      <c r="I5" s="5" t="s">
        <v>14</v>
      </c>
      <c r="J5" s="6">
        <v>725</v>
      </c>
    </row>
    <row r="6" spans="1:10" x14ac:dyDescent="0.25">
      <c r="A6" s="1" t="s">
        <v>91</v>
      </c>
      <c r="B6" s="1" t="s">
        <v>11</v>
      </c>
      <c r="C6" s="2">
        <v>45562</v>
      </c>
      <c r="D6" s="1" t="s">
        <v>85</v>
      </c>
      <c r="E6" s="3">
        <v>214</v>
      </c>
      <c r="F6" s="1" t="s">
        <v>83</v>
      </c>
      <c r="G6" s="1" t="str">
        <f>VLOOKUP(transactions[[#This Row],[customer_id]],customers[[customer_id]:[full_name]], 2, FALSE)</f>
        <v>Afia Darko</v>
      </c>
      <c r="H6" s="1" t="str">
        <f>VLOOKUP(transactions[[#This Row],[customer_id]], accounts[[customer_id]:[account_type]], 2, FALSE)</f>
        <v>Current</v>
      </c>
      <c r="I6" s="5" t="s">
        <v>16</v>
      </c>
      <c r="J6" s="6">
        <v>627</v>
      </c>
    </row>
    <row r="7" spans="1:10" x14ac:dyDescent="0.25">
      <c r="A7" s="1" t="s">
        <v>92</v>
      </c>
      <c r="B7" s="1" t="s">
        <v>40</v>
      </c>
      <c r="C7" s="2">
        <v>45401</v>
      </c>
      <c r="D7" s="1" t="s">
        <v>90</v>
      </c>
      <c r="E7" s="3">
        <v>471</v>
      </c>
      <c r="F7" s="1" t="s">
        <v>93</v>
      </c>
      <c r="G7" s="1" t="str">
        <f>VLOOKUP(transactions[[#This Row],[customer_id]],customers[[customer_id]:[full_name]], 2, FALSE)</f>
        <v>Yaw Asare</v>
      </c>
      <c r="H7" s="1" t="str">
        <f>VLOOKUP(transactions[[#This Row],[customer_id]], accounts[[customer_id]:[account_type]], 2, FALSE)</f>
        <v>Current</v>
      </c>
      <c r="I7" s="5" t="s">
        <v>20</v>
      </c>
      <c r="J7" s="6">
        <v>416</v>
      </c>
    </row>
    <row r="8" spans="1:10" x14ac:dyDescent="0.25">
      <c r="A8" s="1" t="s">
        <v>94</v>
      </c>
      <c r="B8" s="1" t="s">
        <v>11</v>
      </c>
      <c r="C8" s="2">
        <v>45858</v>
      </c>
      <c r="D8" s="1" t="s">
        <v>95</v>
      </c>
      <c r="E8" s="3">
        <v>388</v>
      </c>
      <c r="F8" s="1" t="s">
        <v>83</v>
      </c>
      <c r="G8" s="1" t="str">
        <f>VLOOKUP(transactions[[#This Row],[customer_id]],customers[[customer_id]:[full_name]], 2, FALSE)</f>
        <v>Afia Darko</v>
      </c>
      <c r="H8" s="1" t="str">
        <f>VLOOKUP(transactions[[#This Row],[customer_id]], accounts[[customer_id]:[account_type]], 2, FALSE)</f>
        <v>Current</v>
      </c>
      <c r="I8" s="5" t="s">
        <v>24</v>
      </c>
      <c r="J8" s="6">
        <v>767</v>
      </c>
    </row>
    <row r="9" spans="1:10" x14ac:dyDescent="0.25">
      <c r="A9" s="1" t="s">
        <v>96</v>
      </c>
      <c r="B9" s="1" t="s">
        <v>38</v>
      </c>
      <c r="C9" s="2">
        <v>45570</v>
      </c>
      <c r="D9" s="1" t="s">
        <v>82</v>
      </c>
      <c r="E9" s="3">
        <v>185</v>
      </c>
      <c r="F9" s="1" t="s">
        <v>86</v>
      </c>
      <c r="G9" s="1" t="str">
        <f>VLOOKUP(transactions[[#This Row],[customer_id]],customers[[customer_id]:[full_name]], 2, FALSE)</f>
        <v>Yaw Boateng</v>
      </c>
      <c r="H9" s="1" t="str">
        <f>VLOOKUP(transactions[[#This Row],[customer_id]], accounts[[customer_id]:[account_type]], 2, FALSE)</f>
        <v>Current</v>
      </c>
      <c r="I9" s="5" t="s">
        <v>26</v>
      </c>
      <c r="J9" s="6">
        <v>243</v>
      </c>
    </row>
    <row r="10" spans="1:10" x14ac:dyDescent="0.25">
      <c r="A10" s="1" t="s">
        <v>97</v>
      </c>
      <c r="B10" s="1" t="s">
        <v>14</v>
      </c>
      <c r="C10" s="2">
        <v>45507</v>
      </c>
      <c r="D10" s="1" t="s">
        <v>95</v>
      </c>
      <c r="E10" s="3">
        <v>414</v>
      </c>
      <c r="F10" s="1" t="s">
        <v>83</v>
      </c>
      <c r="G10" s="1" t="str">
        <f>VLOOKUP(transactions[[#This Row],[customer_id]],customers[[customer_id]:[full_name]], 2, FALSE)</f>
        <v>Kojo Darko</v>
      </c>
      <c r="H10" s="1" t="str">
        <f>VLOOKUP(transactions[[#This Row],[customer_id]], accounts[[customer_id]:[account_type]], 2, FALSE)</f>
        <v>Current</v>
      </c>
      <c r="I10" s="5" t="s">
        <v>30</v>
      </c>
      <c r="J10" s="6">
        <v>1037</v>
      </c>
    </row>
    <row r="11" spans="1:10" x14ac:dyDescent="0.25">
      <c r="A11" s="1" t="s">
        <v>98</v>
      </c>
      <c r="B11" s="1" t="s">
        <v>42</v>
      </c>
      <c r="C11" s="2">
        <v>45643</v>
      </c>
      <c r="D11" s="1" t="s">
        <v>90</v>
      </c>
      <c r="E11" s="3">
        <v>370</v>
      </c>
      <c r="F11" s="1" t="s">
        <v>83</v>
      </c>
      <c r="G11" s="1" t="str">
        <f>VLOOKUP(transactions[[#This Row],[customer_id]],customers[[customer_id]:[full_name]], 2, FALSE)</f>
        <v>Adjoa Mensah</v>
      </c>
      <c r="H11" s="1" t="str">
        <f>VLOOKUP(transactions[[#This Row],[customer_id]], accounts[[customer_id]:[account_type]], 2, FALSE)</f>
        <v>Current</v>
      </c>
      <c r="I11" s="5" t="s">
        <v>32</v>
      </c>
      <c r="J11" s="6">
        <v>594</v>
      </c>
    </row>
    <row r="12" spans="1:10" x14ac:dyDescent="0.25">
      <c r="A12" s="1" t="s">
        <v>99</v>
      </c>
      <c r="B12" s="1" t="s">
        <v>40</v>
      </c>
      <c r="C12" s="2">
        <v>45562</v>
      </c>
      <c r="D12" s="1" t="s">
        <v>90</v>
      </c>
      <c r="E12" s="3">
        <v>391</v>
      </c>
      <c r="F12" s="1" t="s">
        <v>83</v>
      </c>
      <c r="G12" s="1" t="str">
        <f>VLOOKUP(transactions[[#This Row],[customer_id]],customers[[customer_id]:[full_name]], 2, FALSE)</f>
        <v>Yaw Asare</v>
      </c>
      <c r="H12" s="1" t="str">
        <f>VLOOKUP(transactions[[#This Row],[customer_id]], accounts[[customer_id]:[account_type]], 2, FALSE)</f>
        <v>Current</v>
      </c>
      <c r="I12" s="5" t="s">
        <v>34</v>
      </c>
      <c r="J12" s="6">
        <v>190</v>
      </c>
    </row>
    <row r="13" spans="1:10" x14ac:dyDescent="0.25">
      <c r="A13" s="1" t="s">
        <v>100</v>
      </c>
      <c r="B13" s="1" t="s">
        <v>20</v>
      </c>
      <c r="C13" s="2">
        <v>45792</v>
      </c>
      <c r="D13" s="1" t="s">
        <v>101</v>
      </c>
      <c r="E13" s="3">
        <v>194</v>
      </c>
      <c r="F13" s="1" t="s">
        <v>93</v>
      </c>
      <c r="G13" s="1" t="str">
        <f>VLOOKUP(transactions[[#This Row],[customer_id]],customers[[customer_id]:[full_name]], 2, FALSE)</f>
        <v>Adjoa Mensah</v>
      </c>
      <c r="H13" s="1" t="str">
        <f>VLOOKUP(transactions[[#This Row],[customer_id]], accounts[[customer_id]:[account_type]], 2, FALSE)</f>
        <v>Current</v>
      </c>
      <c r="I13" s="5" t="s">
        <v>36</v>
      </c>
      <c r="J13" s="6">
        <v>175</v>
      </c>
    </row>
    <row r="14" spans="1:10" x14ac:dyDescent="0.25">
      <c r="A14" s="1" t="s">
        <v>102</v>
      </c>
      <c r="B14" s="1" t="s">
        <v>16</v>
      </c>
      <c r="C14" s="2">
        <v>45344</v>
      </c>
      <c r="D14" s="1" t="s">
        <v>101</v>
      </c>
      <c r="E14" s="3">
        <v>376</v>
      </c>
      <c r="F14" s="1" t="s">
        <v>83</v>
      </c>
      <c r="G14" s="1" t="str">
        <f>VLOOKUP(transactions[[#This Row],[customer_id]],customers[[customer_id]:[full_name]], 2, FALSE)</f>
        <v>Yaw Mensah</v>
      </c>
      <c r="H14" s="1" t="str">
        <f>VLOOKUP(transactions[[#This Row],[customer_id]], accounts[[customer_id]:[account_type]], 2, FALSE)</f>
        <v>Current</v>
      </c>
      <c r="I14" s="5" t="s">
        <v>38</v>
      </c>
      <c r="J14" s="6">
        <v>786</v>
      </c>
    </row>
    <row r="15" spans="1:10" x14ac:dyDescent="0.25">
      <c r="A15" s="1" t="s">
        <v>103</v>
      </c>
      <c r="B15" s="1" t="s">
        <v>30</v>
      </c>
      <c r="C15" s="2">
        <v>45725</v>
      </c>
      <c r="D15" s="1" t="s">
        <v>95</v>
      </c>
      <c r="E15" s="3">
        <v>266</v>
      </c>
      <c r="F15" s="1" t="s">
        <v>93</v>
      </c>
      <c r="G15" s="1" t="str">
        <f>VLOOKUP(transactions[[#This Row],[customer_id]],customers[[customer_id]:[full_name]], 2, FALSE)</f>
        <v>Afia Darko</v>
      </c>
      <c r="H15" s="1" t="str">
        <f>VLOOKUP(transactions[[#This Row],[customer_id]], accounts[[customer_id]:[account_type]], 2, FALSE)</f>
        <v>Savings</v>
      </c>
      <c r="I15" s="5" t="s">
        <v>40</v>
      </c>
      <c r="J15" s="6">
        <v>2193</v>
      </c>
    </row>
    <row r="16" spans="1:10" x14ac:dyDescent="0.25">
      <c r="A16" s="1" t="s">
        <v>104</v>
      </c>
      <c r="B16" s="1" t="s">
        <v>40</v>
      </c>
      <c r="C16" s="2">
        <v>45337</v>
      </c>
      <c r="D16" s="1" t="s">
        <v>105</v>
      </c>
      <c r="E16" s="3">
        <v>350</v>
      </c>
      <c r="F16" s="1" t="s">
        <v>93</v>
      </c>
      <c r="G16" s="1" t="str">
        <f>VLOOKUP(transactions[[#This Row],[customer_id]],customers[[customer_id]:[full_name]], 2, FALSE)</f>
        <v>Yaw Asare</v>
      </c>
      <c r="H16" s="1" t="str">
        <f>VLOOKUP(transactions[[#This Row],[customer_id]], accounts[[customer_id]:[account_type]], 2, FALSE)</f>
        <v>Current</v>
      </c>
      <c r="I16" s="5" t="s">
        <v>42</v>
      </c>
      <c r="J16" s="6">
        <v>370</v>
      </c>
    </row>
    <row r="17" spans="1:10" x14ac:dyDescent="0.25">
      <c r="A17" s="1" t="s">
        <v>106</v>
      </c>
      <c r="B17" s="1" t="s">
        <v>32</v>
      </c>
      <c r="C17" s="2">
        <v>45633</v>
      </c>
      <c r="D17" s="1" t="s">
        <v>95</v>
      </c>
      <c r="E17" s="3">
        <v>181</v>
      </c>
      <c r="F17" s="1" t="s">
        <v>83</v>
      </c>
      <c r="G17" s="1" t="str">
        <f>VLOOKUP(transactions[[#This Row],[customer_id]],customers[[customer_id]:[full_name]], 2, FALSE)</f>
        <v>Kojo Asare</v>
      </c>
      <c r="H17" s="1" t="str">
        <f>VLOOKUP(transactions[[#This Row],[customer_id]], accounts[[customer_id]:[account_type]], 2, FALSE)</f>
        <v>Current</v>
      </c>
      <c r="I17" s="5" t="s">
        <v>44</v>
      </c>
      <c r="J17" s="6">
        <v>568</v>
      </c>
    </row>
    <row r="18" spans="1:10" x14ac:dyDescent="0.25">
      <c r="A18" s="1" t="s">
        <v>107</v>
      </c>
      <c r="B18" s="1" t="s">
        <v>11</v>
      </c>
      <c r="C18" s="2">
        <v>45560</v>
      </c>
      <c r="D18" s="1" t="s">
        <v>101</v>
      </c>
      <c r="E18" s="3">
        <v>341</v>
      </c>
      <c r="F18" s="1" t="s">
        <v>83</v>
      </c>
      <c r="G18" s="1" t="str">
        <f>VLOOKUP(transactions[[#This Row],[customer_id]],customers[[customer_id]:[full_name]], 2, FALSE)</f>
        <v>Afia Darko</v>
      </c>
      <c r="H18" s="1" t="str">
        <f>VLOOKUP(transactions[[#This Row],[customer_id]], accounts[[customer_id]:[account_type]], 2, FALSE)</f>
        <v>Current</v>
      </c>
      <c r="I18" s="5" t="s">
        <v>46</v>
      </c>
      <c r="J18" s="6">
        <v>615</v>
      </c>
    </row>
    <row r="19" spans="1:10" x14ac:dyDescent="0.25">
      <c r="A19" s="1" t="s">
        <v>108</v>
      </c>
      <c r="B19" s="1" t="s">
        <v>24</v>
      </c>
      <c r="C19" s="2">
        <v>45744</v>
      </c>
      <c r="D19" s="1" t="s">
        <v>90</v>
      </c>
      <c r="E19" s="3">
        <v>119</v>
      </c>
      <c r="F19" s="1" t="s">
        <v>83</v>
      </c>
      <c r="G19" s="1" t="str">
        <f>VLOOKUP(transactions[[#This Row],[customer_id]],customers[[customer_id]:[full_name]], 2, FALSE)</f>
        <v>Esi Mensah</v>
      </c>
      <c r="H19" s="1" t="str">
        <f>VLOOKUP(transactions[[#This Row],[customer_id]], accounts[[customer_id]:[account_type]], 2, FALSE)</f>
        <v>Current</v>
      </c>
      <c r="I19" s="5" t="s">
        <v>134</v>
      </c>
      <c r="J19" s="6">
        <v>10615</v>
      </c>
    </row>
    <row r="20" spans="1:10" x14ac:dyDescent="0.25">
      <c r="A20" s="1" t="s">
        <v>109</v>
      </c>
      <c r="B20" s="1" t="s">
        <v>40</v>
      </c>
      <c r="C20" s="2">
        <v>45729</v>
      </c>
      <c r="D20" s="1" t="s">
        <v>88</v>
      </c>
      <c r="E20" s="3">
        <v>301</v>
      </c>
      <c r="F20" s="1" t="s">
        <v>86</v>
      </c>
      <c r="G20" s="1" t="str">
        <f>VLOOKUP(transactions[[#This Row],[customer_id]],customers[[customer_id]:[full_name]], 2, FALSE)</f>
        <v>Yaw Asare</v>
      </c>
      <c r="H20" s="1" t="str">
        <f>VLOOKUP(transactions[[#This Row],[customer_id]], accounts[[customer_id]:[account_type]], 2, FALSE)</f>
        <v>Current</v>
      </c>
    </row>
    <row r="21" spans="1:10" x14ac:dyDescent="0.25">
      <c r="A21" s="1" t="s">
        <v>110</v>
      </c>
      <c r="B21" s="1" t="s">
        <v>40</v>
      </c>
      <c r="C21" s="2">
        <v>45301</v>
      </c>
      <c r="D21" s="1" t="s">
        <v>95</v>
      </c>
      <c r="E21" s="3">
        <v>464</v>
      </c>
      <c r="F21" s="1" t="s">
        <v>83</v>
      </c>
      <c r="G21" s="1" t="str">
        <f>VLOOKUP(transactions[[#This Row],[customer_id]],customers[[customer_id]:[full_name]], 2, FALSE)</f>
        <v>Yaw Asare</v>
      </c>
      <c r="H21" s="1" t="str">
        <f>VLOOKUP(transactions[[#This Row],[customer_id]], accounts[[customer_id]:[account_type]], 2, FALSE)</f>
        <v>Current</v>
      </c>
    </row>
    <row r="22" spans="1:10" x14ac:dyDescent="0.25">
      <c r="A22" s="1" t="s">
        <v>111</v>
      </c>
      <c r="B22" s="1" t="s">
        <v>46</v>
      </c>
      <c r="C22" s="2">
        <v>45369</v>
      </c>
      <c r="D22" s="1" t="s">
        <v>90</v>
      </c>
      <c r="E22" s="3">
        <v>324</v>
      </c>
      <c r="F22" s="1" t="s">
        <v>93</v>
      </c>
      <c r="G22" s="1" t="str">
        <f>VLOOKUP(transactions[[#This Row],[customer_id]],customers[[customer_id]:[full_name]], 2, FALSE)</f>
        <v>Afia Darko</v>
      </c>
      <c r="H22" s="1" t="str">
        <f>VLOOKUP(transactions[[#This Row],[customer_id]], accounts[[customer_id]:[account_type]], 2, FALSE)</f>
        <v>Current</v>
      </c>
    </row>
    <row r="23" spans="1:10" x14ac:dyDescent="0.25">
      <c r="A23" s="1" t="s">
        <v>112</v>
      </c>
      <c r="B23" s="1" t="s">
        <v>38</v>
      </c>
      <c r="C23" s="2">
        <v>45444</v>
      </c>
      <c r="D23" s="1" t="s">
        <v>88</v>
      </c>
      <c r="E23" s="3">
        <v>494</v>
      </c>
      <c r="F23" s="1" t="s">
        <v>83</v>
      </c>
      <c r="G23" s="1" t="str">
        <f>VLOOKUP(transactions[[#This Row],[customer_id]],customers[[customer_id]:[full_name]], 2, FALSE)</f>
        <v>Yaw Boateng</v>
      </c>
      <c r="H23" s="1" t="str">
        <f>VLOOKUP(transactions[[#This Row],[customer_id]], accounts[[customer_id]:[account_type]], 2, FALSE)</f>
        <v>Current</v>
      </c>
    </row>
    <row r="24" spans="1:10" x14ac:dyDescent="0.25">
      <c r="A24" s="1" t="s">
        <v>113</v>
      </c>
      <c r="B24" s="1" t="s">
        <v>32</v>
      </c>
      <c r="C24" s="2">
        <v>45328</v>
      </c>
      <c r="D24" s="1" t="s">
        <v>88</v>
      </c>
      <c r="E24" s="3">
        <v>413</v>
      </c>
      <c r="F24" s="1" t="s">
        <v>86</v>
      </c>
      <c r="G24" s="1" t="str">
        <f>VLOOKUP(transactions[[#This Row],[customer_id]],customers[[customer_id]:[full_name]], 2, FALSE)</f>
        <v>Kojo Asare</v>
      </c>
      <c r="H24" s="1" t="str">
        <f>VLOOKUP(transactions[[#This Row],[customer_id]], accounts[[customer_id]:[account_type]], 2, FALSE)</f>
        <v>Current</v>
      </c>
    </row>
    <row r="25" spans="1:10" x14ac:dyDescent="0.25">
      <c r="A25" s="1" t="s">
        <v>114</v>
      </c>
      <c r="B25" s="1" t="s">
        <v>44</v>
      </c>
      <c r="C25" s="2">
        <v>45857</v>
      </c>
      <c r="D25" s="1" t="s">
        <v>101</v>
      </c>
      <c r="E25" s="3">
        <v>231</v>
      </c>
      <c r="F25" s="1" t="s">
        <v>83</v>
      </c>
      <c r="G25" s="1" t="str">
        <f>VLOOKUP(transactions[[#This Row],[customer_id]],customers[[customer_id]:[full_name]], 2, FALSE)</f>
        <v>Yaw Boateng</v>
      </c>
      <c r="H25" s="1" t="str">
        <f>VLOOKUP(transactions[[#This Row],[customer_id]], accounts[[customer_id]:[account_type]], 2, FALSE)</f>
        <v>Current</v>
      </c>
    </row>
    <row r="26" spans="1:10" x14ac:dyDescent="0.25">
      <c r="A26" s="1" t="s">
        <v>115</v>
      </c>
      <c r="B26" s="1" t="s">
        <v>40</v>
      </c>
      <c r="C26" s="2">
        <v>45732</v>
      </c>
      <c r="D26" s="1" t="s">
        <v>95</v>
      </c>
      <c r="E26" s="3">
        <v>216</v>
      </c>
      <c r="F26" s="1" t="s">
        <v>86</v>
      </c>
      <c r="G26" s="1" t="str">
        <f>VLOOKUP(transactions[[#This Row],[customer_id]],customers[[customer_id]:[full_name]], 2, FALSE)</f>
        <v>Yaw Asare</v>
      </c>
      <c r="H26" s="1" t="str">
        <f>VLOOKUP(transactions[[#This Row],[customer_id]], accounts[[customer_id]:[account_type]], 2, FALSE)</f>
        <v>Current</v>
      </c>
    </row>
    <row r="27" spans="1:10" x14ac:dyDescent="0.25">
      <c r="A27" s="1" t="s">
        <v>116</v>
      </c>
      <c r="B27" s="1" t="s">
        <v>14</v>
      </c>
      <c r="C27" s="2">
        <v>45334</v>
      </c>
      <c r="D27" s="1" t="s">
        <v>85</v>
      </c>
      <c r="E27" s="3">
        <v>140</v>
      </c>
      <c r="F27" s="1" t="s">
        <v>86</v>
      </c>
      <c r="G27" s="1" t="str">
        <f>VLOOKUP(transactions[[#This Row],[customer_id]],customers[[customer_id]:[full_name]], 2, FALSE)</f>
        <v>Kojo Darko</v>
      </c>
      <c r="H27" s="1" t="str">
        <f>VLOOKUP(transactions[[#This Row],[customer_id]], accounts[[customer_id]:[account_type]], 2, FALSE)</f>
        <v>Current</v>
      </c>
    </row>
    <row r="28" spans="1:10" x14ac:dyDescent="0.25">
      <c r="A28" s="1" t="s">
        <v>117</v>
      </c>
      <c r="B28" s="1" t="s">
        <v>30</v>
      </c>
      <c r="C28" s="2">
        <v>45665</v>
      </c>
      <c r="D28" s="1" t="s">
        <v>82</v>
      </c>
      <c r="E28" s="3">
        <v>251</v>
      </c>
      <c r="F28" s="1" t="s">
        <v>83</v>
      </c>
      <c r="G28" s="1" t="str">
        <f>VLOOKUP(transactions[[#This Row],[customer_id]],customers[[customer_id]:[full_name]], 2, FALSE)</f>
        <v>Afia Darko</v>
      </c>
      <c r="H28" s="1" t="str">
        <f>VLOOKUP(transactions[[#This Row],[customer_id]], accounts[[customer_id]:[account_type]], 2, FALSE)</f>
        <v>Savings</v>
      </c>
    </row>
    <row r="29" spans="1:10" x14ac:dyDescent="0.25">
      <c r="A29" s="1" t="s">
        <v>118</v>
      </c>
      <c r="B29" s="1" t="s">
        <v>24</v>
      </c>
      <c r="C29" s="2">
        <v>45658</v>
      </c>
      <c r="D29" s="1" t="s">
        <v>101</v>
      </c>
      <c r="E29" s="3">
        <v>395</v>
      </c>
      <c r="F29" s="1" t="s">
        <v>93</v>
      </c>
      <c r="G29" s="1" t="str">
        <f>VLOOKUP(transactions[[#This Row],[customer_id]],customers[[customer_id]:[full_name]], 2, FALSE)</f>
        <v>Esi Mensah</v>
      </c>
      <c r="H29" s="1" t="str">
        <f>VLOOKUP(transactions[[#This Row],[customer_id]], accounts[[customer_id]:[account_type]], 2, FALSE)</f>
        <v>Current</v>
      </c>
    </row>
    <row r="30" spans="1:10" x14ac:dyDescent="0.25">
      <c r="A30" s="1" t="s">
        <v>119</v>
      </c>
      <c r="B30" s="1" t="s">
        <v>44</v>
      </c>
      <c r="C30" s="2">
        <v>45547</v>
      </c>
      <c r="D30" s="1" t="s">
        <v>101</v>
      </c>
      <c r="E30" s="3">
        <v>68</v>
      </c>
      <c r="F30" s="1" t="s">
        <v>86</v>
      </c>
      <c r="G30" s="1" t="str">
        <f>VLOOKUP(transactions[[#This Row],[customer_id]],customers[[customer_id]:[full_name]], 2, FALSE)</f>
        <v>Yaw Boateng</v>
      </c>
      <c r="H30" s="1" t="str">
        <f>VLOOKUP(transactions[[#This Row],[customer_id]], accounts[[customer_id]:[account_type]], 2, FALSE)</f>
        <v>Current</v>
      </c>
    </row>
    <row r="31" spans="1:10" x14ac:dyDescent="0.25">
      <c r="A31" s="1" t="s">
        <v>120</v>
      </c>
      <c r="B31" s="1" t="s">
        <v>30</v>
      </c>
      <c r="C31" s="2">
        <v>45397</v>
      </c>
      <c r="D31" s="1" t="s">
        <v>85</v>
      </c>
      <c r="E31" s="3">
        <v>88</v>
      </c>
      <c r="F31" s="1" t="s">
        <v>83</v>
      </c>
      <c r="G31" s="1" t="str">
        <f>VLOOKUP(transactions[[#This Row],[customer_id]],customers[[customer_id]:[full_name]], 2, FALSE)</f>
        <v>Afia Darko</v>
      </c>
      <c r="H31" s="1" t="str">
        <f>VLOOKUP(transactions[[#This Row],[customer_id]], accounts[[customer_id]:[account_type]], 2, FALSE)</f>
        <v>Savings</v>
      </c>
    </row>
    <row r="32" spans="1:10" x14ac:dyDescent="0.25">
      <c r="A32" s="1" t="s">
        <v>121</v>
      </c>
      <c r="B32" s="1" t="s">
        <v>24</v>
      </c>
      <c r="C32" s="2">
        <v>45865</v>
      </c>
      <c r="D32" s="1" t="s">
        <v>82</v>
      </c>
      <c r="E32" s="3">
        <v>175</v>
      </c>
      <c r="F32" s="1" t="s">
        <v>83</v>
      </c>
      <c r="G32" s="1" t="str">
        <f>VLOOKUP(transactions[[#This Row],[customer_id]],customers[[customer_id]:[full_name]], 2, FALSE)</f>
        <v>Esi Mensah</v>
      </c>
      <c r="H32" s="1" t="str">
        <f>VLOOKUP(transactions[[#This Row],[customer_id]], accounts[[customer_id]:[account_type]], 2, FALSE)</f>
        <v>Current</v>
      </c>
    </row>
    <row r="33" spans="1:8" x14ac:dyDescent="0.25">
      <c r="A33" s="1" t="s">
        <v>122</v>
      </c>
      <c r="B33" s="1" t="s">
        <v>20</v>
      </c>
      <c r="C33" s="2">
        <v>45450</v>
      </c>
      <c r="D33" s="1" t="s">
        <v>90</v>
      </c>
      <c r="E33" s="3">
        <v>222</v>
      </c>
      <c r="F33" s="1" t="s">
        <v>93</v>
      </c>
      <c r="G33" s="1" t="str">
        <f>VLOOKUP(transactions[[#This Row],[customer_id]],customers[[customer_id]:[full_name]], 2, FALSE)</f>
        <v>Adjoa Mensah</v>
      </c>
      <c r="H33" s="1" t="str">
        <f>VLOOKUP(transactions[[#This Row],[customer_id]], accounts[[customer_id]:[account_type]], 2, FALSE)</f>
        <v>Current</v>
      </c>
    </row>
    <row r="34" spans="1:8" x14ac:dyDescent="0.25">
      <c r="A34" s="1" t="s">
        <v>123</v>
      </c>
      <c r="B34" s="1" t="s">
        <v>34</v>
      </c>
      <c r="C34" s="2">
        <v>45458</v>
      </c>
      <c r="D34" s="1" t="s">
        <v>105</v>
      </c>
      <c r="E34" s="3">
        <v>190</v>
      </c>
      <c r="F34" s="1" t="s">
        <v>86</v>
      </c>
      <c r="G34" s="1" t="str">
        <f>VLOOKUP(transactions[[#This Row],[customer_id]],customers[[customer_id]:[full_name]], 2, FALSE)</f>
        <v>Kofi Darko</v>
      </c>
      <c r="H34" s="1" t="str">
        <f>VLOOKUP(transactions[[#This Row],[customer_id]], accounts[[customer_id]:[account_type]], 2, FALSE)</f>
        <v>Current</v>
      </c>
    </row>
    <row r="35" spans="1:8" x14ac:dyDescent="0.25">
      <c r="A35" s="1" t="s">
        <v>124</v>
      </c>
      <c r="B35" s="1" t="s">
        <v>46</v>
      </c>
      <c r="C35" s="2">
        <v>45714</v>
      </c>
      <c r="D35" s="1" t="s">
        <v>95</v>
      </c>
      <c r="E35" s="3">
        <v>291</v>
      </c>
      <c r="F35" s="1" t="s">
        <v>86</v>
      </c>
      <c r="G35" s="1" t="str">
        <f>VLOOKUP(transactions[[#This Row],[customer_id]],customers[[customer_id]:[full_name]], 2, FALSE)</f>
        <v>Afia Darko</v>
      </c>
      <c r="H35" s="1" t="str">
        <f>VLOOKUP(transactions[[#This Row],[customer_id]], accounts[[customer_id]:[account_type]], 2, FALSE)</f>
        <v>Current</v>
      </c>
    </row>
    <row r="36" spans="1:8" x14ac:dyDescent="0.25">
      <c r="A36" s="1" t="s">
        <v>125</v>
      </c>
      <c r="B36" s="1" t="s">
        <v>44</v>
      </c>
      <c r="C36" s="2">
        <v>45475</v>
      </c>
      <c r="D36" s="1" t="s">
        <v>105</v>
      </c>
      <c r="E36" s="3">
        <v>269</v>
      </c>
      <c r="F36" s="1" t="s">
        <v>83</v>
      </c>
      <c r="G36" s="1" t="str">
        <f>VLOOKUP(transactions[[#This Row],[customer_id]],customers[[customer_id]:[full_name]], 2, FALSE)</f>
        <v>Yaw Boateng</v>
      </c>
      <c r="H36" s="1" t="str">
        <f>VLOOKUP(transactions[[#This Row],[customer_id]], accounts[[customer_id]:[account_type]], 2, FALSE)</f>
        <v>Current</v>
      </c>
    </row>
    <row r="37" spans="1:8" x14ac:dyDescent="0.25">
      <c r="A37" s="1" t="s">
        <v>126</v>
      </c>
      <c r="B37" s="1" t="s">
        <v>36</v>
      </c>
      <c r="C37" s="2">
        <v>45632</v>
      </c>
      <c r="D37" s="1" t="s">
        <v>90</v>
      </c>
      <c r="E37" s="3">
        <v>175</v>
      </c>
      <c r="F37" s="1" t="s">
        <v>83</v>
      </c>
      <c r="G37" s="1" t="str">
        <f>VLOOKUP(transactions[[#This Row],[customer_id]],customers[[customer_id]:[full_name]], 2, FALSE)</f>
        <v>Adjoa Darko</v>
      </c>
      <c r="H37" s="1" t="str">
        <f>VLOOKUP(transactions[[#This Row],[customer_id]], accounts[[customer_id]:[account_type]], 2, FALSE)</f>
        <v>Current</v>
      </c>
    </row>
    <row r="38" spans="1:8" x14ac:dyDescent="0.25">
      <c r="A38" s="1" t="s">
        <v>127</v>
      </c>
      <c r="B38" s="1" t="s">
        <v>38</v>
      </c>
      <c r="C38" s="2">
        <v>45546</v>
      </c>
      <c r="D38" s="1" t="s">
        <v>101</v>
      </c>
      <c r="E38" s="3">
        <v>107</v>
      </c>
      <c r="F38" s="1" t="s">
        <v>93</v>
      </c>
      <c r="G38" s="1" t="str">
        <f>VLOOKUP(transactions[[#This Row],[customer_id]],customers[[customer_id]:[full_name]], 2, FALSE)</f>
        <v>Yaw Boateng</v>
      </c>
      <c r="H38" s="1" t="str">
        <f>VLOOKUP(transactions[[#This Row],[customer_id]], accounts[[customer_id]:[account_type]], 2, FALSE)</f>
        <v>Current</v>
      </c>
    </row>
    <row r="39" spans="1:8" x14ac:dyDescent="0.25">
      <c r="A39" s="1" t="s">
        <v>128</v>
      </c>
      <c r="B39" s="1" t="s">
        <v>16</v>
      </c>
      <c r="C39" s="2">
        <v>45455</v>
      </c>
      <c r="D39" s="1" t="s">
        <v>82</v>
      </c>
      <c r="E39" s="3">
        <v>197</v>
      </c>
      <c r="F39" s="1" t="s">
        <v>93</v>
      </c>
      <c r="G39" s="1" t="str">
        <f>VLOOKUP(transactions[[#This Row],[customer_id]],customers[[customer_id]:[full_name]], 2, FALSE)</f>
        <v>Yaw Mensah</v>
      </c>
      <c r="H39" s="1" t="str">
        <f>VLOOKUP(transactions[[#This Row],[customer_id]], accounts[[customer_id]:[account_type]], 2, FALSE)</f>
        <v>Current</v>
      </c>
    </row>
    <row r="40" spans="1:8" x14ac:dyDescent="0.25">
      <c r="A40" s="1" t="s">
        <v>129</v>
      </c>
      <c r="B40" s="1" t="s">
        <v>11</v>
      </c>
      <c r="C40" s="2">
        <v>45402</v>
      </c>
      <c r="D40" s="1" t="s">
        <v>101</v>
      </c>
      <c r="E40" s="3">
        <v>366</v>
      </c>
      <c r="F40" s="1" t="s">
        <v>86</v>
      </c>
      <c r="G40" s="1" t="str">
        <f>VLOOKUP(transactions[[#This Row],[customer_id]],customers[[customer_id]:[full_name]], 2, FALSE)</f>
        <v>Afia Darko</v>
      </c>
      <c r="H40" s="1" t="str">
        <f>VLOOKUP(transactions[[#This Row],[customer_id]], accounts[[customer_id]:[account_type]], 2, FALSE)</f>
        <v>Current</v>
      </c>
    </row>
    <row r="41" spans="1:8" x14ac:dyDescent="0.25">
      <c r="A41" s="1" t="s">
        <v>130</v>
      </c>
      <c r="B41" s="1" t="s">
        <v>30</v>
      </c>
      <c r="C41" s="2">
        <v>45331</v>
      </c>
      <c r="D41" s="1" t="s">
        <v>88</v>
      </c>
      <c r="E41" s="3">
        <v>432</v>
      </c>
      <c r="F41" s="1" t="s">
        <v>86</v>
      </c>
      <c r="G41" s="1" t="str">
        <f>VLOOKUP(transactions[[#This Row],[customer_id]],customers[[customer_id]:[full_name]], 2, FALSE)</f>
        <v>Afia Darko</v>
      </c>
      <c r="H41" s="1" t="str">
        <f>VLOOKUP(transactions[[#This Row],[customer_id]], accounts[[customer_id]:[account_type]], 2, FALSE)</f>
        <v>Savings</v>
      </c>
    </row>
  </sheetData>
  <conditionalFormatting sqref="E1:E1048576">
    <cfRule type="colorScale" priority="1">
      <colorScale>
        <cfvo type="min"/>
        <cfvo type="max"/>
        <color rgb="FFFCFCFF"/>
        <color rgb="FF63BE7B"/>
      </colorScale>
    </cfRule>
  </conditionalFormatting>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CDD2F-1B43-48F2-83E9-FDFFDA20D7D2}">
  <dimension ref="B2:M3"/>
  <sheetViews>
    <sheetView workbookViewId="0">
      <selection activeCell="M3" sqref="M3"/>
    </sheetView>
  </sheetViews>
  <sheetFormatPr defaultRowHeight="15" x14ac:dyDescent="0.25"/>
  <cols>
    <col min="2" max="2" width="27.140625" bestFit="1" customWidth="1"/>
    <col min="4" max="4" width="3.7109375" customWidth="1"/>
    <col min="13" max="13" width="16.140625" customWidth="1"/>
  </cols>
  <sheetData>
    <row r="2" spans="2:13" ht="21" x14ac:dyDescent="0.35">
      <c r="B2" s="10" t="s">
        <v>148</v>
      </c>
      <c r="E2" s="10" t="s">
        <v>149</v>
      </c>
      <c r="I2" s="10" t="s">
        <v>150</v>
      </c>
      <c r="M2" s="10" t="s">
        <v>151</v>
      </c>
    </row>
    <row r="3" spans="2:13" ht="26.25" x14ac:dyDescent="0.4">
      <c r="B3" s="8">
        <f>SUM(transactions[amount])</f>
        <v>10615</v>
      </c>
      <c r="E3" s="9">
        <f>COUNTA(transactions[trans_id])</f>
        <v>40</v>
      </c>
      <c r="I3" s="9">
        <f>COUNTA(_xlfn.UNIQUE(customers[customer_id]))</f>
        <v>20</v>
      </c>
      <c r="M3" s="9">
        <f>AVERAGE(transactions[amount])</f>
        <v>265.375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88C4F-E069-4CAC-9DF5-55CF8843742A}">
  <dimension ref="A1:C6"/>
  <sheetViews>
    <sheetView workbookViewId="0">
      <selection activeCell="E5" sqref="E5"/>
    </sheetView>
  </sheetViews>
  <sheetFormatPr defaultRowHeight="15" x14ac:dyDescent="0.25"/>
  <cols>
    <col min="1" max="3" width="25" customWidth="1"/>
  </cols>
  <sheetData>
    <row r="1" spans="1:3" ht="39.75" thickBot="1" x14ac:dyDescent="0.3">
      <c r="A1" s="7" t="s">
        <v>138</v>
      </c>
      <c r="B1" s="7"/>
      <c r="C1" s="7"/>
    </row>
    <row r="2" spans="1:3" ht="15.75" thickBot="1" x14ac:dyDescent="0.3">
      <c r="A2" s="7" t="s">
        <v>139</v>
      </c>
      <c r="B2" s="7"/>
      <c r="C2" s="7"/>
    </row>
    <row r="3" spans="1:3" ht="15.75" thickBot="1" x14ac:dyDescent="0.3">
      <c r="A3" s="7" t="s">
        <v>140</v>
      </c>
      <c r="B3" s="7" t="s">
        <v>141</v>
      </c>
      <c r="C3" s="7" t="s">
        <v>142</v>
      </c>
    </row>
    <row r="4" spans="1:3" ht="65.25" thickBot="1" x14ac:dyDescent="0.3">
      <c r="A4" s="7" t="s">
        <v>143</v>
      </c>
      <c r="B4" s="7" t="s">
        <v>144</v>
      </c>
      <c r="C4" s="7" t="s">
        <v>145</v>
      </c>
    </row>
    <row r="5" spans="1:3" ht="78" thickBot="1" x14ac:dyDescent="0.3">
      <c r="A5" s="7" t="s">
        <v>146</v>
      </c>
      <c r="B5" s="7" t="s">
        <v>144</v>
      </c>
      <c r="C5" s="7" t="s">
        <v>147</v>
      </c>
    </row>
    <row r="6" spans="1:3" ht="65.25" thickBot="1" x14ac:dyDescent="0.3">
      <c r="A6" s="7" t="s">
        <v>148</v>
      </c>
      <c r="B6" s="7" t="s">
        <v>144</v>
      </c>
      <c r="C6" s="7" t="s">
        <v>145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2C938CC-350F-4299-AF08-3AB8595D12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accounts</vt:lpstr>
      <vt:lpstr>customers</vt:lpstr>
      <vt:lpstr>transactions</vt:lpstr>
      <vt:lpstr>Dashboard</vt:lpstr>
      <vt:lpstr>Data Cleaning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Adams Emmanuel Paddy</dc:creator>
  <cp:lastModifiedBy>Adams Emmanuel Paddy</cp:lastModifiedBy>
  <dcterms:created xsi:type="dcterms:W3CDTF">2025-10-18T10:24:43Z</dcterms:created>
  <dcterms:modified xsi:type="dcterms:W3CDTF">2025-10-18T11:13:35Z</dcterms:modified>
</cp:coreProperties>
</file>